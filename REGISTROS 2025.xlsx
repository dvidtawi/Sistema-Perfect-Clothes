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sell\Desktop\"/>
    </mc:Choice>
  </mc:AlternateContent>
  <xr:revisionPtr revIDLastSave="0" documentId="13_ncr:1_{99C1A675-1BEB-4A35-BAC4-98A2F07DEA18}" xr6:coauthVersionLast="47" xr6:coauthVersionMax="47" xr10:uidLastSave="{00000000-0000-0000-0000-000000000000}"/>
  <bookViews>
    <workbookView xWindow="-120" yWindow="-120" windowWidth="29040" windowHeight="15720" xr2:uid="{51F29A3D-6788-4AFC-B528-B325844D1E62}"/>
  </bookViews>
  <sheets>
    <sheet name="Libro diario" sheetId="1" r:id="rId1"/>
    <sheet name="Libros mayores" sheetId="2" r:id="rId2"/>
    <sheet name="Material comprado" sheetId="3" r:id="rId3"/>
    <sheet name="Prendas realizadas" sheetId="4" r:id="rId4"/>
    <sheet name="Ventas por mayor" sheetId="5" r:id="rId5"/>
    <sheet name="Ventas por menor" sheetId="6" r:id="rId6"/>
    <sheet name="Diseño de prend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6" i="2" l="1"/>
  <c r="D525" i="2"/>
  <c r="D536" i="2"/>
  <c r="D546" i="2" s="1"/>
  <c r="D547" i="2" s="1"/>
  <c r="D544" i="2"/>
  <c r="D534" i="2"/>
  <c r="P358" i="3"/>
  <c r="BG525" i="2"/>
  <c r="BF525" i="2"/>
  <c r="BC525" i="2"/>
  <c r="BB525" i="2"/>
  <c r="AY525" i="2"/>
  <c r="AX525" i="2"/>
  <c r="AU525" i="2"/>
  <c r="AT525" i="2"/>
  <c r="AQ525" i="2"/>
  <c r="AP525" i="2"/>
  <c r="AM525" i="2"/>
  <c r="AL525" i="2"/>
  <c r="AI525" i="2"/>
  <c r="AH525" i="2"/>
  <c r="AE525" i="2"/>
  <c r="AD525" i="2"/>
  <c r="AA525" i="2"/>
  <c r="Z525" i="2"/>
  <c r="W525" i="2"/>
  <c r="V525" i="2"/>
  <c r="S525" i="2"/>
  <c r="R525" i="2"/>
  <c r="O525" i="2"/>
  <c r="N525" i="2"/>
  <c r="K525" i="2"/>
  <c r="J525" i="2"/>
  <c r="G525" i="2"/>
  <c r="F525" i="2"/>
  <c r="C525" i="2"/>
  <c r="B525" i="2"/>
  <c r="H1058" i="1"/>
  <c r="G1058" i="1"/>
  <c r="P1041" i="1"/>
  <c r="P1042" i="1"/>
  <c r="O1043" i="1"/>
  <c r="P1043" i="1"/>
  <c r="Q1052" i="1"/>
  <c r="P1056" i="1"/>
  <c r="P390" i="3"/>
  <c r="Q390" i="3" s="1"/>
  <c r="P389" i="3"/>
  <c r="Q389" i="3" s="1"/>
  <c r="Q392" i="3"/>
  <c r="Q391" i="3"/>
  <c r="Q388" i="3"/>
  <c r="Q387" i="3"/>
  <c r="F38" i="4"/>
  <c r="Q376" i="3"/>
  <c r="P379" i="3"/>
  <c r="Q379" i="3" s="1"/>
  <c r="P378" i="3"/>
  <c r="Q378" i="3" s="1"/>
  <c r="P377" i="3"/>
  <c r="Q377" i="3" s="1"/>
  <c r="F7" i="4"/>
  <c r="P368" i="3"/>
  <c r="Q368" i="3" s="1"/>
  <c r="F44" i="4"/>
  <c r="P359" i="3"/>
  <c r="P357" i="3"/>
  <c r="BG462" i="2"/>
  <c r="BF462" i="2"/>
  <c r="BC462" i="2"/>
  <c r="BB462" i="2"/>
  <c r="AY462" i="2"/>
  <c r="AX462" i="2"/>
  <c r="AU462" i="2"/>
  <c r="AT462" i="2"/>
  <c r="AQ462" i="2"/>
  <c r="AP462" i="2"/>
  <c r="AM462" i="2"/>
  <c r="AL462" i="2"/>
  <c r="AI462" i="2"/>
  <c r="AH462" i="2"/>
  <c r="AE462" i="2"/>
  <c r="AD462" i="2"/>
  <c r="AA462" i="2"/>
  <c r="Z462" i="2"/>
  <c r="W462" i="2"/>
  <c r="V462" i="2"/>
  <c r="S462" i="2"/>
  <c r="R462" i="2"/>
  <c r="O462" i="2"/>
  <c r="N462" i="2"/>
  <c r="K462" i="2"/>
  <c r="J462" i="2"/>
  <c r="G462" i="2"/>
  <c r="F462" i="2"/>
  <c r="B462" i="2"/>
  <c r="C462" i="2"/>
  <c r="H936" i="1"/>
  <c r="G936" i="1"/>
  <c r="P348" i="3"/>
  <c r="Q348" i="3" s="1"/>
  <c r="P336" i="3"/>
  <c r="P337" i="3"/>
  <c r="P338" i="3"/>
  <c r="P339" i="3"/>
  <c r="P335" i="3"/>
  <c r="F23" i="4"/>
  <c r="P323" i="3"/>
  <c r="Q323" i="3" s="1"/>
  <c r="Q326" i="3"/>
  <c r="Q325" i="3"/>
  <c r="Q324" i="3"/>
  <c r="P315" i="3"/>
  <c r="Q315" i="3" s="1"/>
  <c r="P304" i="3"/>
  <c r="P305" i="3"/>
  <c r="P306" i="3"/>
  <c r="O301" i="3"/>
  <c r="P301" i="3" s="1"/>
  <c r="O302" i="3"/>
  <c r="P302" i="3" s="1"/>
  <c r="O303" i="3"/>
  <c r="P303" i="3" s="1"/>
  <c r="O291" i="3"/>
  <c r="P292" i="3"/>
  <c r="Q291" i="3" s="1"/>
  <c r="Q267" i="3"/>
  <c r="P268" i="3"/>
  <c r="P266" i="3"/>
  <c r="Q266" i="3" s="1"/>
  <c r="P264" i="3"/>
  <c r="Q264" i="3" s="1"/>
  <c r="P265" i="3"/>
  <c r="Q265" i="3" s="1"/>
  <c r="P263" i="3"/>
  <c r="Q263" i="3" s="1"/>
  <c r="P262" i="3"/>
  <c r="Q261" i="3"/>
  <c r="Q260" i="3"/>
  <c r="Q259" i="3"/>
  <c r="J276" i="3"/>
  <c r="J283" i="3"/>
  <c r="J269" i="3"/>
  <c r="AA368" i="2"/>
  <c r="Z368" i="2"/>
  <c r="W368" i="2"/>
  <c r="V368" i="2"/>
  <c r="S368" i="2"/>
  <c r="R368" i="2"/>
  <c r="O368" i="2"/>
  <c r="N368" i="2"/>
  <c r="K368" i="2"/>
  <c r="J368" i="2"/>
  <c r="G368" i="2"/>
  <c r="F368" i="2"/>
  <c r="C368" i="2"/>
  <c r="B368" i="2"/>
  <c r="BG368" i="2"/>
  <c r="BF368" i="2"/>
  <c r="BC368" i="2"/>
  <c r="BB368" i="2"/>
  <c r="AY368" i="2"/>
  <c r="AX368" i="2"/>
  <c r="AU368" i="2"/>
  <c r="AT368" i="2"/>
  <c r="AQ368" i="2"/>
  <c r="AP368" i="2"/>
  <c r="AM368" i="2"/>
  <c r="AL368" i="2"/>
  <c r="AI368" i="2"/>
  <c r="AH368" i="2"/>
  <c r="AE368" i="2"/>
  <c r="AD368" i="2"/>
  <c r="H752" i="1"/>
  <c r="O251" i="3"/>
  <c r="O250" i="3"/>
  <c r="O248" i="3"/>
  <c r="P78" i="3"/>
  <c r="M249" i="3"/>
  <c r="P247" i="3"/>
  <c r="Q247" i="3" s="1"/>
  <c r="P236" i="3"/>
  <c r="P237" i="3"/>
  <c r="P238" i="3"/>
  <c r="J239" i="3"/>
  <c r="R236" i="3"/>
  <c r="P225" i="3"/>
  <c r="P226" i="3"/>
  <c r="P228" i="3"/>
  <c r="P227" i="3"/>
  <c r="O215" i="3"/>
  <c r="P215" i="3" s="1"/>
  <c r="O216" i="3"/>
  <c r="P216" i="3" s="1"/>
  <c r="F24" i="4"/>
  <c r="G600" i="1"/>
  <c r="Q205" i="3"/>
  <c r="P204" i="3"/>
  <c r="Q204" i="3" s="1"/>
  <c r="J207" i="3"/>
  <c r="G594" i="1"/>
  <c r="G590" i="1"/>
  <c r="G548" i="1"/>
  <c r="O195" i="3"/>
  <c r="P195" i="3" s="1"/>
  <c r="O194" i="3"/>
  <c r="P194" i="3" s="1"/>
  <c r="P196" i="3"/>
  <c r="P185" i="3"/>
  <c r="Q185" i="3" s="1"/>
  <c r="BG188" i="2"/>
  <c r="BF188" i="2"/>
  <c r="BC188" i="2"/>
  <c r="BB188" i="2"/>
  <c r="AY188" i="2"/>
  <c r="AX188" i="2"/>
  <c r="AU188" i="2"/>
  <c r="AT188" i="2"/>
  <c r="AQ188" i="2"/>
  <c r="AP188" i="2"/>
  <c r="AM188" i="2"/>
  <c r="AL188" i="2"/>
  <c r="AI188" i="2"/>
  <c r="AH188" i="2"/>
  <c r="AE188" i="2"/>
  <c r="AD188" i="2"/>
  <c r="AA188" i="2"/>
  <c r="Z188" i="2"/>
  <c r="W188" i="2"/>
  <c r="V188" i="2"/>
  <c r="S188" i="2"/>
  <c r="R188" i="2"/>
  <c r="O188" i="2"/>
  <c r="N188" i="2"/>
  <c r="K188" i="2"/>
  <c r="J188" i="2"/>
  <c r="G188" i="2"/>
  <c r="F188" i="2"/>
  <c r="C188" i="2"/>
  <c r="B188" i="2"/>
  <c r="K1058" i="1" l="1"/>
  <c r="L1058" i="1"/>
  <c r="G752" i="1"/>
  <c r="R376" i="3"/>
  <c r="R387" i="3"/>
  <c r="Q357" i="3"/>
  <c r="Q335" i="3"/>
  <c r="K936" i="1"/>
  <c r="L936" i="1"/>
  <c r="D462" i="2"/>
  <c r="D461" i="2" s="1"/>
  <c r="R323" i="3"/>
  <c r="Q305" i="3"/>
  <c r="L752" i="1"/>
  <c r="K752" i="1"/>
  <c r="R259" i="3"/>
  <c r="D368" i="2"/>
  <c r="Q225" i="3"/>
  <c r="Q215" i="3"/>
  <c r="R204" i="3"/>
  <c r="Q194" i="3"/>
  <c r="K396" i="1"/>
  <c r="L396" i="1"/>
  <c r="D188" i="2"/>
  <c r="D187" i="2" s="1"/>
  <c r="D367" i="2" l="1"/>
  <c r="G396" i="1"/>
  <c r="H396" i="1"/>
  <c r="P176" i="3" l="1"/>
  <c r="Q176" i="3" s="1"/>
  <c r="P175" i="3"/>
  <c r="Q175" i="3" s="1"/>
  <c r="Q174" i="3"/>
  <c r="P172" i="3"/>
  <c r="Q172" i="3" s="1"/>
  <c r="J177" i="3"/>
  <c r="Q173" i="3"/>
  <c r="Q171" i="3"/>
  <c r="P163" i="3"/>
  <c r="P161" i="3"/>
  <c r="P151" i="3"/>
  <c r="Q151" i="3" s="1"/>
  <c r="P149" i="3"/>
  <c r="Q149" i="3" s="1"/>
  <c r="Q150" i="3"/>
  <c r="Q152" i="3"/>
  <c r="J153" i="3"/>
  <c r="P141" i="3"/>
  <c r="Q141" i="3" s="1"/>
  <c r="O132" i="3"/>
  <c r="P132" i="3" s="1"/>
  <c r="Q132" i="3" s="1"/>
  <c r="P123" i="3"/>
  <c r="Q123" i="3" s="1"/>
  <c r="P122" i="3"/>
  <c r="Q122" i="3" s="1"/>
  <c r="P120" i="3"/>
  <c r="Q120" i="3" s="1"/>
  <c r="J124" i="3"/>
  <c r="Q121" i="3"/>
  <c r="Q112" i="3"/>
  <c r="P111" i="3"/>
  <c r="Q111" i="3" s="1"/>
  <c r="J113" i="3"/>
  <c r="P101" i="3"/>
  <c r="Q101" i="3" s="1"/>
  <c r="J104" i="3"/>
  <c r="Q103" i="3"/>
  <c r="Q102" i="3"/>
  <c r="Q100" i="3"/>
  <c r="Q99" i="3"/>
  <c r="O91" i="3"/>
  <c r="P91" i="3" s="1"/>
  <c r="Q91" i="3" s="1"/>
  <c r="G78" i="3"/>
  <c r="G79" i="3"/>
  <c r="G80" i="3"/>
  <c r="G77" i="3"/>
  <c r="Q80" i="3"/>
  <c r="Q81" i="3"/>
  <c r="Q82" i="3"/>
  <c r="Q79" i="3"/>
  <c r="Q78" i="3"/>
  <c r="P77" i="3"/>
  <c r="Q77" i="3" s="1"/>
  <c r="M47" i="6"/>
  <c r="M51" i="6"/>
  <c r="M50" i="6"/>
  <c r="M49" i="6"/>
  <c r="M48" i="6"/>
  <c r="Q59" i="3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J5" i="5"/>
  <c r="Q69" i="3"/>
  <c r="Q68" i="3"/>
  <c r="Q60" i="3"/>
  <c r="Q57" i="3"/>
  <c r="P58" i="3"/>
  <c r="Q58" i="3" s="1"/>
  <c r="M22" i="6"/>
  <c r="M21" i="6"/>
  <c r="M20" i="6"/>
  <c r="M19" i="6"/>
  <c r="M18" i="6"/>
  <c r="M17" i="6"/>
  <c r="M16" i="6"/>
  <c r="M14" i="6"/>
  <c r="J14" i="6"/>
  <c r="J15" i="6"/>
  <c r="M15" i="6" s="1"/>
  <c r="J13" i="6"/>
  <c r="M13" i="6" s="1"/>
  <c r="M12" i="6"/>
  <c r="M11" i="6"/>
  <c r="M10" i="6"/>
  <c r="M9" i="6"/>
  <c r="M7" i="6"/>
  <c r="M8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6" i="6"/>
  <c r="M5" i="6"/>
  <c r="Q161" i="3" l="1"/>
  <c r="R171" i="3"/>
  <c r="R149" i="3"/>
  <c r="R111" i="3"/>
  <c r="R120" i="3"/>
  <c r="R99" i="3"/>
  <c r="J83" i="3"/>
  <c r="R77" i="3"/>
  <c r="R57" i="3"/>
  <c r="R68" i="3"/>
  <c r="U19" i="6"/>
  <c r="T19" i="6"/>
  <c r="S19" i="6"/>
  <c r="R18" i="5"/>
  <c r="Q18" i="5"/>
  <c r="P18" i="5"/>
  <c r="P49" i="3"/>
  <c r="P48" i="3"/>
  <c r="Q48" i="3" l="1"/>
  <c r="Z18" i="3"/>
  <c r="Y18" i="3"/>
  <c r="X18" i="3"/>
  <c r="D26" i="7" l="1"/>
  <c r="D25" i="7"/>
  <c r="D24" i="7"/>
  <c r="D23" i="7"/>
  <c r="D22" i="7"/>
  <c r="D21" i="7"/>
  <c r="D20" i="7"/>
  <c r="D19" i="7"/>
  <c r="D18" i="7"/>
  <c r="D17" i="7"/>
  <c r="D16" i="7"/>
  <c r="D15" i="7"/>
  <c r="D14" i="7"/>
</calcChain>
</file>

<file path=xl/sharedStrings.xml><?xml version="1.0" encoding="utf-8"?>
<sst xmlns="http://schemas.openxmlformats.org/spreadsheetml/2006/main" count="2173" uniqueCount="448">
  <si>
    <t>LIBRO DIARIO</t>
  </si>
  <si>
    <t>Nº</t>
  </si>
  <si>
    <t>FECHA</t>
  </si>
  <si>
    <t>CUENTA</t>
  </si>
  <si>
    <t>GLOSA</t>
  </si>
  <si>
    <t>DEBE</t>
  </si>
  <si>
    <t>HABER</t>
  </si>
  <si>
    <t>Material comprado</t>
  </si>
  <si>
    <t>Fecha</t>
  </si>
  <si>
    <t>Tipo de prenda</t>
  </si>
  <si>
    <t>Código</t>
  </si>
  <si>
    <t>Pedido</t>
  </si>
  <si>
    <t>Cliente</t>
  </si>
  <si>
    <t>si</t>
  </si>
  <si>
    <t>no</t>
  </si>
  <si>
    <t>Detalle del pedido</t>
  </si>
  <si>
    <t>Talla</t>
  </si>
  <si>
    <t>Material</t>
  </si>
  <si>
    <t>Color</t>
  </si>
  <si>
    <t xml:space="preserve"> m</t>
  </si>
  <si>
    <t>P x m</t>
  </si>
  <si>
    <t>Total</t>
  </si>
  <si>
    <t>TOTAL</t>
  </si>
  <si>
    <t>MATERIAL COMPRADO</t>
  </si>
  <si>
    <t>Descripciòn de prenda</t>
  </si>
  <si>
    <t>Materiales</t>
  </si>
  <si>
    <t>Libros mayores</t>
  </si>
  <si>
    <t>Caja General</t>
  </si>
  <si>
    <t>Ventas por mayor</t>
  </si>
  <si>
    <t>Ventas por menor</t>
  </si>
  <si>
    <t>Pasajes</t>
  </si>
  <si>
    <t>Género</t>
  </si>
  <si>
    <t>Varón</t>
  </si>
  <si>
    <t>Dama</t>
  </si>
  <si>
    <t>Bombers</t>
  </si>
  <si>
    <t>Bombers enteras</t>
  </si>
  <si>
    <t>Chamarras acolchadas</t>
  </si>
  <si>
    <t>Chalecos acolchados</t>
  </si>
  <si>
    <t>Joggers</t>
  </si>
  <si>
    <t>Canguros</t>
  </si>
  <si>
    <t>Polerones</t>
  </si>
  <si>
    <t>Unisex</t>
  </si>
  <si>
    <t>Bombers kaki</t>
  </si>
  <si>
    <t>Bombers Cuerina</t>
  </si>
  <si>
    <t>Mojado coreano, polar andino, cierre nylon, cierres nylon para 3 bolsillos, llaves min, liga de 3cm.</t>
  </si>
  <si>
    <t>Mojado coreano, polar andino, cierre nylon, cierres nylon para 3 bolsillos, llaves min, cinta de ribete elástica de 2cm del color de la prenda.</t>
  </si>
  <si>
    <t>Terry, wato del color de la prenda, liga de 4cm.</t>
  </si>
  <si>
    <t>Jaypura, polar andino, tafeta, pretina común negra, cierre de aluminio, cierre 12cm de aluminio para manga.</t>
  </si>
  <si>
    <t>Kaki 1ra, polar andino, tafeta, pretina de lana negra, cierre de aluminio, cierre 12cm de aluminio para manga.</t>
  </si>
  <si>
    <t>Cuerina, tafeta, pretina común negra, cierre aluminio opaco, cierre aluminio 12 cm para manga.</t>
  </si>
  <si>
    <t>Jaypura, Tafeta, Cierre coreano, pretina comùn del color de la prenda, cierre de la manga del color de la prenda, llave cromada invertida.</t>
  </si>
  <si>
    <t>Terry, pretina de polera.</t>
  </si>
  <si>
    <t>Terry.</t>
  </si>
  <si>
    <t>Taslan arrugado, fibra, polar plusher, terry, pretina común del color de la prenda, cierrre coreano normal del color de la prenda, llave especial</t>
  </si>
  <si>
    <t>PRENDAS REALIZADAS</t>
  </si>
  <si>
    <t>Nombre de prenda</t>
  </si>
  <si>
    <t>Cantidad</t>
  </si>
  <si>
    <t>Fechas</t>
  </si>
  <si>
    <t>Cot.</t>
  </si>
  <si>
    <t>comp.</t>
  </si>
  <si>
    <t>Cort.</t>
  </si>
  <si>
    <t>Term.</t>
  </si>
  <si>
    <t>VENTAS POR MAYOR</t>
  </si>
  <si>
    <t>Precio</t>
  </si>
  <si>
    <t>Unitario</t>
  </si>
  <si>
    <t>VENTAS POR MENOR</t>
  </si>
  <si>
    <t>Vendedor</t>
  </si>
  <si>
    <t>Lugar</t>
  </si>
  <si>
    <t>CREACIÓN DE DISEÑO DE PRENDA</t>
  </si>
  <si>
    <t>Temporada</t>
  </si>
  <si>
    <t>Dpto. objetivo</t>
  </si>
  <si>
    <t>Medidas</t>
  </si>
  <si>
    <t>Concepto</t>
  </si>
  <si>
    <t>cm</t>
  </si>
  <si>
    <t>Descripción</t>
  </si>
  <si>
    <t>Alto de prenda</t>
  </si>
  <si>
    <t>Ancho de prenda</t>
  </si>
  <si>
    <t>Línea de sisa</t>
  </si>
  <si>
    <t>Línea de cintura</t>
  </si>
  <si>
    <t>Línea de basta</t>
  </si>
  <si>
    <t>Caída de hombro</t>
  </si>
  <si>
    <t>Hombro a hombro</t>
  </si>
  <si>
    <t>Escala de tallas</t>
  </si>
  <si>
    <t>Ancho de cuello del.</t>
  </si>
  <si>
    <t>S</t>
  </si>
  <si>
    <t>M</t>
  </si>
  <si>
    <t>L</t>
  </si>
  <si>
    <t>XL</t>
  </si>
  <si>
    <t>XXL</t>
  </si>
  <si>
    <t>Ancho de cuello esp.</t>
  </si>
  <si>
    <t>Alto de cuello</t>
  </si>
  <si>
    <t>Largo de manga</t>
  </si>
  <si>
    <t>Alto de copa</t>
  </si>
  <si>
    <t>Ancho de puño</t>
  </si>
  <si>
    <t>Medida de pretina</t>
  </si>
  <si>
    <t>Balance de apertura 2025: Efectivo = bs 2726 , Banco: BNB = 13896; BMSC = 184 , David = bs -5. Total = bs 16801</t>
  </si>
  <si>
    <t>N° de transacción</t>
  </si>
  <si>
    <t>1 Caja General</t>
  </si>
  <si>
    <t>2 Materiales</t>
  </si>
  <si>
    <t>3 Ventas por mayor</t>
  </si>
  <si>
    <t>4 Ventas por menor</t>
  </si>
  <si>
    <t>5 Pasajes</t>
  </si>
  <si>
    <t>6 Patrimonio</t>
  </si>
  <si>
    <t>7 Paseo</t>
  </si>
  <si>
    <t>8 Ropa</t>
  </si>
  <si>
    <t>9 Pasaje material</t>
  </si>
  <si>
    <t>10 Universidad</t>
  </si>
  <si>
    <t>12 Gastos extra</t>
  </si>
  <si>
    <t>13 Materiales Univ.</t>
  </si>
  <si>
    <t>14 Anuncio Facebook</t>
  </si>
  <si>
    <t>15 Familia</t>
  </si>
  <si>
    <t>Debe</t>
  </si>
  <si>
    <t>Haber</t>
  </si>
  <si>
    <t>Patrimonio</t>
  </si>
  <si>
    <t>Paseo</t>
  </si>
  <si>
    <t>Ropa</t>
  </si>
  <si>
    <t>Pasaje material</t>
  </si>
  <si>
    <t>Universidad</t>
  </si>
  <si>
    <t>Gastos extras</t>
  </si>
  <si>
    <t>Materiales Univ.</t>
  </si>
  <si>
    <t>Anuncio Facebook</t>
  </si>
  <si>
    <t>Familia</t>
  </si>
  <si>
    <t>ENERO</t>
  </si>
  <si>
    <t>Chamarra Acolchada Crop</t>
  </si>
  <si>
    <t>Bomber polinylon</t>
  </si>
  <si>
    <t>Polinylon, polar andino, tafeta, tira de 150 cm de pretina poliéster, cierre nylon oro, llaves especiales</t>
  </si>
  <si>
    <t>Chaqueta Camisa</t>
  </si>
  <si>
    <t>Kaki 1ra, Tafeta, Cierre Nylon ORO, Tira pretina grueso, pellón.</t>
  </si>
  <si>
    <t>Jaypura, polar andino, tafeta, pretina poliéster primera, cierre nylon ORO, cierre xm nylon ORO con llave ORO.</t>
  </si>
  <si>
    <t>Terry y cierre nylon normal centreal.</t>
  </si>
  <si>
    <t>Nº pedido a completar</t>
  </si>
  <si>
    <t>Movimiento de la cuenta BNB: 9,37 acreditado y 1,22 IVA, Saldo 8,15 de interés ganado</t>
  </si>
  <si>
    <t>Movimiento de la cuenta BMSC: 0,26 acreditado y 0,03 IVA, Saldo 0,23 de interés ganado. Pago de seguro 15 = -14,77</t>
  </si>
  <si>
    <t>1 Bomber Varón L Azul M.</t>
  </si>
  <si>
    <t>Encuentro con Paola.</t>
  </si>
  <si>
    <t>Tienda.</t>
  </si>
  <si>
    <t>1 Bomber Varón L Verde M.</t>
  </si>
  <si>
    <t>1 Bomber Entero Nuevo XL Negro.</t>
  </si>
  <si>
    <t>Bomber Entero Nuevo</t>
  </si>
  <si>
    <t>Ingreso extra.</t>
  </si>
  <si>
    <t>Salida con Paola.</t>
  </si>
  <si>
    <t>2 Bomber Varón XL Negro y Azul M.</t>
  </si>
  <si>
    <t>Cinturròn.</t>
  </si>
  <si>
    <t>Croquetas 1 kg 22; atùn en lata 3unid: 27; 15 ispi deshiratado</t>
  </si>
  <si>
    <t>1 Bomber Varón L Negro</t>
  </si>
  <si>
    <t>2 Bomber Varón M Negro y Verde M. 1,5 pasaje.</t>
  </si>
  <si>
    <t>1 Bomber Varón L Negro. 2 pasaje.</t>
  </si>
  <si>
    <t>1 Bomber Varón XL Azul M. 2 pasaje.</t>
  </si>
  <si>
    <t>Agua gimnasio y masitas.</t>
  </si>
  <si>
    <t>1 Bomber Varón XL Negro</t>
  </si>
  <si>
    <t>2 Bomber Varón L Negro</t>
  </si>
  <si>
    <t>Bomber Varón</t>
  </si>
  <si>
    <t>Negro</t>
  </si>
  <si>
    <t>Rossell</t>
  </si>
  <si>
    <t>Azul M.</t>
  </si>
  <si>
    <t>San Francisco</t>
  </si>
  <si>
    <t>Verde M.</t>
  </si>
  <si>
    <t>Tlf. Cotahuma</t>
  </si>
  <si>
    <t>Nuevo Bomber Entero</t>
  </si>
  <si>
    <t>Sucre</t>
  </si>
  <si>
    <t>Cochabamba</t>
  </si>
  <si>
    <t>Potosí</t>
  </si>
  <si>
    <t>Guindo</t>
  </si>
  <si>
    <t>Ceibo</t>
  </si>
  <si>
    <t>3 Bomber Varón XL Negro, guindo y Verde M.</t>
  </si>
  <si>
    <t>Puente Avaroa</t>
  </si>
  <si>
    <t>David</t>
  </si>
  <si>
    <t>Cementerio General</t>
  </si>
  <si>
    <t>Garita</t>
  </si>
  <si>
    <t>Correos</t>
  </si>
  <si>
    <t>Los Pinos</t>
  </si>
  <si>
    <t>1 Bomber Varón M Verde M. 7,2 pasaje. 10 delivery</t>
  </si>
  <si>
    <t>N/A</t>
  </si>
  <si>
    <t>Verde M</t>
  </si>
  <si>
    <t>Polar andino</t>
  </si>
  <si>
    <t xml:space="preserve">Cierres aluminio </t>
  </si>
  <si>
    <t>Plateado</t>
  </si>
  <si>
    <t>Pretina común</t>
  </si>
  <si>
    <t>Gastos extra</t>
  </si>
  <si>
    <t>1 Bomber Varón XL Azul M.</t>
  </si>
  <si>
    <t>1 Bomber Varón M Guindo</t>
  </si>
  <si>
    <t>Pasaje para cambio de talla.</t>
  </si>
  <si>
    <t>2 Bomber Varón XL Negro y Verde M. 6 pasaje. 5 delivery</t>
  </si>
  <si>
    <t>Recarga Tarjeta Teleférico.</t>
  </si>
  <si>
    <t>1 Bomber Varón L Negro. 2,5 pasaje.</t>
  </si>
  <si>
    <t>1 Bomber Varón M Azul M.</t>
  </si>
  <si>
    <t>Gatitos</t>
  </si>
  <si>
    <t>11 Gatitos</t>
  </si>
  <si>
    <t>Veterinario.</t>
  </si>
  <si>
    <t>1 Bomber Varón L Negro. 4 pasaje.</t>
  </si>
  <si>
    <t>2 Bomber Varón XL Guindo y Verde M.</t>
  </si>
  <si>
    <t>Pasaje Gimnasio a casa.</t>
  </si>
  <si>
    <t>Bolsa para fibra.</t>
  </si>
  <si>
    <t>Pasaje Veterinario a casa.</t>
  </si>
  <si>
    <t>Pasaje cobrado por ir en vano.</t>
  </si>
  <si>
    <t>1 Bomber Varón XL Negro. 2 pasaje.</t>
  </si>
  <si>
    <t>Pretina en tiras</t>
  </si>
  <si>
    <t>13 Nuevo Bomber Varón Negro: 3M, 6L, 4XL. 2 pasaje.</t>
  </si>
  <si>
    <t>1 Bomber Varón M Negro</t>
  </si>
  <si>
    <t>2 Bomber Varón XL Negro y Guindo.</t>
  </si>
  <si>
    <t>1 Bomber Varón L Guindo</t>
  </si>
  <si>
    <t>Estación central</t>
  </si>
  <si>
    <t>Tlf. 6 de marzo</t>
  </si>
  <si>
    <t>3 de mayo</t>
  </si>
  <si>
    <t>San Pedro</t>
  </si>
  <si>
    <t>Tlf. 16 de julio</t>
  </si>
  <si>
    <t>Landaeta</t>
  </si>
  <si>
    <t>Col. Sánchez Bustamante</t>
  </si>
  <si>
    <t>2 Bomber Varón XL Negro y Verde M.</t>
  </si>
  <si>
    <t>Peluquero</t>
  </si>
  <si>
    <t>Taxi a casa</t>
  </si>
  <si>
    <t>Paraguas.</t>
  </si>
  <si>
    <t>Photoshop</t>
  </si>
  <si>
    <t>Oruro</t>
  </si>
  <si>
    <t>Feria de autos</t>
  </si>
  <si>
    <t>Jaypura</t>
  </si>
  <si>
    <t>Azul M</t>
  </si>
  <si>
    <t>2 Bomber Crop S Negro.</t>
  </si>
  <si>
    <t>Cierre aluminio</t>
  </si>
  <si>
    <t>12 cm</t>
  </si>
  <si>
    <t>Veterinario y comida gatitas.</t>
  </si>
  <si>
    <t>2 Bomber Varón XL Azul M y Guindo.</t>
  </si>
  <si>
    <t>2 Bomber Varón XL 1 Negro normal y 1 Verde entero.</t>
  </si>
  <si>
    <t>Veterinario y taxi casa.</t>
  </si>
  <si>
    <t>2 Bomber Varón L Azul M y Guindo.</t>
  </si>
  <si>
    <t>2 Bomber Varón L Negro y Guindo.</t>
  </si>
  <si>
    <t>Petróleo</t>
  </si>
  <si>
    <t>cierre nylon ORO</t>
  </si>
  <si>
    <t>Tafeta</t>
  </si>
  <si>
    <t>6 Bomber Varón Casero Leandro: 6 L (M) 4Negro, 2Verde M. 6,5 pasaje.</t>
  </si>
  <si>
    <t>FECOMAN</t>
  </si>
  <si>
    <t>DAVID</t>
  </si>
  <si>
    <t>Verde Hoja seca</t>
  </si>
  <si>
    <t>4XL</t>
  </si>
  <si>
    <t>3 Bomber Varón M Negro, Azul M y Guindo. 2 pasaje.</t>
  </si>
  <si>
    <t>1 Bomber Varón M Verde M.</t>
  </si>
  <si>
    <t>1 Bomber Varón L Negro.</t>
  </si>
  <si>
    <t>1 Bomber Varón XL Negro.</t>
  </si>
  <si>
    <t>8 Bomber Entero Varón Casero FECOMAN (97). 2 pasaje.</t>
  </si>
  <si>
    <t>Cobrado</t>
  </si>
  <si>
    <t>Polinylon</t>
  </si>
  <si>
    <t>Llaves ORO</t>
  </si>
  <si>
    <t>Cierres ORO</t>
  </si>
  <si>
    <t>MALLEA</t>
  </si>
  <si>
    <t>1 Bomber Crop Dama L Negro</t>
  </si>
  <si>
    <t>1 Bomber Crop Dama M Negro</t>
  </si>
  <si>
    <t>Bolso para Paola</t>
  </si>
  <si>
    <t>16 Bomber Varón Casero 65278889: Negro (5L, 2M y 2XL), Azul (3XL), Verde (1XL), Guindo (3XL).</t>
  </si>
  <si>
    <t>Mallea</t>
  </si>
  <si>
    <t>1 Bomber Varón M Verde M</t>
  </si>
  <si>
    <t>3 Bomber Varón: 2L Negro y 1XL Azul M.</t>
  </si>
  <si>
    <t>2 Bomber Varón M: Negro y Azul M</t>
  </si>
  <si>
    <t>1 Bomber Varón XL Guindo y 1 Bober Crop Dama L Negro</t>
  </si>
  <si>
    <t>Cierre ORO</t>
  </si>
  <si>
    <t>Veterinario</t>
  </si>
  <si>
    <t>1 Bomber Varón XL Guindo.</t>
  </si>
  <si>
    <t>Bomber Polinylon</t>
  </si>
  <si>
    <t>Repuestos</t>
  </si>
  <si>
    <t>Recta</t>
  </si>
  <si>
    <t>Repuestos máquina</t>
  </si>
  <si>
    <t>Polar Andino</t>
  </si>
  <si>
    <t>1 Bomber Varón XL Verde M.</t>
  </si>
  <si>
    <t>Gotas Wilson</t>
  </si>
  <si>
    <t>Ropa Paola</t>
  </si>
  <si>
    <t>2 Bomber Varón: L Azul M. y XL Negro.</t>
  </si>
  <si>
    <t>1 Nuevo Bomber Entero Varón L Guindo.</t>
  </si>
  <si>
    <t>Farmacia.</t>
  </si>
  <si>
    <t>ENTEL</t>
  </si>
  <si>
    <t>Bolsas Celofán</t>
  </si>
  <si>
    <t>30*40</t>
  </si>
  <si>
    <t>Bolsas Medianas</t>
  </si>
  <si>
    <t>Naranja</t>
  </si>
  <si>
    <t>Bolsas Grandes</t>
  </si>
  <si>
    <t>Azul</t>
  </si>
  <si>
    <t>Chamarras acolchadas Varón</t>
  </si>
  <si>
    <t>Fabrizio</t>
  </si>
  <si>
    <t>Chaleco</t>
  </si>
  <si>
    <t>3XL</t>
  </si>
  <si>
    <t>Cierre Nylon</t>
  </si>
  <si>
    <t>Cierre Nylon xm</t>
  </si>
  <si>
    <t>Cinta Ribete</t>
  </si>
  <si>
    <t>Llaves MIN</t>
  </si>
  <si>
    <t>Mojado Coreano</t>
  </si>
  <si>
    <t>19 Bomber Polinylon Azul M. Casero Mallea(110): Varón (6XL, 3XXL, 2L, 1XXXL); Dama(4M, 1S, 1L, 1XL)</t>
  </si>
  <si>
    <t>41 Nuevo Bomber Entero Varón Casero Contador FECOMAN: Azul Marino (26M, 11L, 2S, 2XL)</t>
  </si>
  <si>
    <t>14 Bomber Varón DAVID (99, 135): Verde Hoja Seca (8L, 5XL, 1 4XL)</t>
  </si>
  <si>
    <t>1 Bomber Varón L Verde M</t>
  </si>
  <si>
    <t>UNIVERSIDAD</t>
  </si>
  <si>
    <t>Anuncios FACEBOOK</t>
  </si>
  <si>
    <t>Reajuste, Salidas extras con Paola, y gastos extra generales.</t>
  </si>
  <si>
    <t>MAYORES</t>
  </si>
  <si>
    <t>MARZO</t>
  </si>
  <si>
    <t>Totales</t>
  </si>
  <si>
    <t>SUMA</t>
  </si>
  <si>
    <t>FEBRERO</t>
  </si>
  <si>
    <t>SALDO ACUMULADO</t>
  </si>
  <si>
    <t>Movimiento de la cuenta BMSC: 0,2 acreditado y 0,03 IVA, Saldo 0,17 de interés ganado. Pago de seguro 15 = -14,83</t>
  </si>
  <si>
    <t>Leandro</t>
  </si>
  <si>
    <t>3 Bomber Varón L: Negro Azul M y Guindo.</t>
  </si>
  <si>
    <t>Polar Comùn</t>
  </si>
  <si>
    <t>2 Bomber Varón M Negro.</t>
  </si>
  <si>
    <t>Gimnasio</t>
  </si>
  <si>
    <t>2 Bomber Crop Dama M Negro.</t>
  </si>
  <si>
    <t>2 Bomber Varón XL Guindo y Azul M.</t>
  </si>
  <si>
    <t>2 Bomber Varón XL Guindo.</t>
  </si>
  <si>
    <t>Croquetas 2Kg</t>
  </si>
  <si>
    <t>3 Bomber Varón XL: Negro Azul M y Verde M.</t>
  </si>
  <si>
    <t>8 Chamarras acolchadas Varón y  1 Chaleco acolchado. Azul Marino. Fabrizio (167 y 186).</t>
  </si>
  <si>
    <t>3 Bomber Varón L: Verde M, Azul M y Guindo.</t>
  </si>
  <si>
    <t>Croquetas</t>
  </si>
  <si>
    <t>2 Bomber Varón L: Negro y Azul M.</t>
  </si>
  <si>
    <t>1 Bomber Varón M Negro.</t>
  </si>
  <si>
    <t>2 Bomber Varón M Negro y Azul M.</t>
  </si>
  <si>
    <t>Yurex</t>
  </si>
  <si>
    <t>Pequeño</t>
  </si>
  <si>
    <t>Grande</t>
  </si>
  <si>
    <t>Patita</t>
  </si>
  <si>
    <t>Plàstico</t>
  </si>
  <si>
    <t>1 Chaqueta Cuello Camisa L Negro.</t>
  </si>
  <si>
    <t>1 Bomber Entero Nuevo XL Azul M.</t>
  </si>
  <si>
    <t>Papás me dieron para la úniversidad</t>
  </si>
  <si>
    <t>Gasto universidad</t>
  </si>
  <si>
    <t>Paola</t>
  </si>
  <si>
    <t>Presté a mis papás</t>
  </si>
  <si>
    <t>2 Bomber Varón XL y M Negro.</t>
  </si>
  <si>
    <t>4 Bomber Varón L Negro, Azul M., Verde M. y Guindo.</t>
  </si>
  <si>
    <t>Mochila para Paola.</t>
  </si>
  <si>
    <t>VIVA</t>
  </si>
  <si>
    <t>2 Bomber Varón M Negro y Guindo.</t>
  </si>
  <si>
    <t>Sartén.</t>
  </si>
  <si>
    <t>Azu M.</t>
  </si>
  <si>
    <t>Polat común</t>
  </si>
  <si>
    <t>Pilas para calculadora.</t>
  </si>
  <si>
    <t>2 Bomber Varón Negro, 1XL y 1L.</t>
  </si>
  <si>
    <t>Cierre tractor</t>
  </si>
  <si>
    <t>Cierre tractor 12cm</t>
  </si>
  <si>
    <t>1 Bomber Crop Dama S Negro.</t>
  </si>
  <si>
    <t>1 Bomber Varón L Guindo.</t>
  </si>
  <si>
    <t>34 Bomber Varón: 17Negro, 9Azul M. y 8Verde M.; 1 Chaqueta cuello camisa Negro: 1L y 1XL</t>
  </si>
  <si>
    <t>Me encontré en la calle</t>
  </si>
  <si>
    <t>Pruebas</t>
  </si>
  <si>
    <t>Flecee</t>
  </si>
  <si>
    <t>Terry Algodón</t>
  </si>
  <si>
    <t>Verde Botella</t>
  </si>
  <si>
    <t>Pretina Algodón</t>
  </si>
  <si>
    <t>Amigos.</t>
  </si>
  <si>
    <t>Almuerzo</t>
  </si>
  <si>
    <t>4 Bomber Varón M: Negro, Azul M, Verde M y Guindo.</t>
  </si>
  <si>
    <t>2 Bomber Varón L Azul M y M Negro.</t>
  </si>
  <si>
    <t>Jhonny</t>
  </si>
  <si>
    <t>Chamarra</t>
  </si>
  <si>
    <t>Sooftshell</t>
  </si>
  <si>
    <t>Plomo oscuro</t>
  </si>
  <si>
    <t>Rojo</t>
  </si>
  <si>
    <t>Red</t>
  </si>
  <si>
    <t>Pretina Común</t>
  </si>
  <si>
    <t>Pasaje Material.</t>
  </si>
  <si>
    <t>2 Bomber Varón L Negro y Verde M y 1 Bomber Crop Dama L Negro.</t>
  </si>
  <si>
    <t>Scratch hembra</t>
  </si>
  <si>
    <t>11 Bomber Varón Negro: 3M, 7L y 1XL.</t>
  </si>
  <si>
    <t>Chamarras Sooftshell</t>
  </si>
  <si>
    <t>Tenis para Paola.</t>
  </si>
  <si>
    <t>Crédito Paola.</t>
  </si>
  <si>
    <t>Vendí materiales a mi hermano.</t>
  </si>
  <si>
    <t>Bomber Entero Varón</t>
  </si>
  <si>
    <t>Plomo</t>
  </si>
  <si>
    <t>Plomo medio</t>
  </si>
  <si>
    <t>Botones</t>
  </si>
  <si>
    <t>Cierre invisible</t>
  </si>
  <si>
    <t>1 Bomber Varón L azul M.</t>
  </si>
  <si>
    <t>Tawi pasajes</t>
  </si>
  <si>
    <t>Movimiento de la cuenta BNB: 4,18 acreditado y 0,54 IVA, Saldo 3,54 de interés ganado</t>
  </si>
  <si>
    <t>Movimiento de la cuenta BMSC: 0,16 acreditado y 0,02 IVA, Saldo 0,14 de interés ganado. Pago de seguro 15 = -14,86</t>
  </si>
  <si>
    <t>13 Bomber Varón Azul M: 2M, 6L y 5XL.</t>
  </si>
  <si>
    <t>2 Bomber Varón L Azul M y M Guindo.</t>
  </si>
  <si>
    <t>10 Bomber Varón Negro: 1L y 1XL; Azul M: 1M y 1L; Verde M: 1M, 2L y 1XL; Guindo: 1M y 1L.</t>
  </si>
  <si>
    <t>1 Bomber Varón M negro.</t>
  </si>
  <si>
    <t>Bomber Entero varón</t>
  </si>
  <si>
    <t>Entrega pedido Fabrizio: 18 Bomber Entero Varón Negro: 2L, 1XL y 1XXL; Guindo: 3S, 2M, 4L, 3XL y 1XXL. + 1XL Forro polar y cierres plateados.</t>
  </si>
  <si>
    <t>Bomber entero Varón</t>
  </si>
  <si>
    <t>Entrega pedido MALLEA: 11 Bomber Polinylon Azul M.: Varón: 1M, 4L y 1XL; Dama: 2M y 3XL.</t>
  </si>
  <si>
    <t>Masetita papás.</t>
  </si>
  <si>
    <t>Entrega pedido Leandro: 5 Bomber Varón: Negro: 3XL; Verde: 1XL; Guindo: 1L.</t>
  </si>
  <si>
    <t>1 Bomber Crop Dama Negro.</t>
  </si>
  <si>
    <t>Entrega pedido Jhonny: 30 Chamarras sooftshell: 5M, 10L, 10XL y 5XXL</t>
  </si>
  <si>
    <t>Interés por préstamo</t>
  </si>
  <si>
    <t>Azul Marino</t>
  </si>
  <si>
    <t>Entrega pedido FECOMAN: 5 Chamarras jaypura: Plomo: 2 L y 2 XL ( 1 bomber y 1 chamarra respectivamente), 1 Chamarra negro.</t>
  </si>
  <si>
    <t>Entrega pedido MALLEa: 3 Bombers enteras Polinylon: 1 (XL), 1 (12) y 1 (8)</t>
  </si>
  <si>
    <t>Medias para Paola.</t>
  </si>
  <si>
    <t>Maple de huevo, tarjeta de ENTEL y cera para cabello. + sopita.</t>
  </si>
  <si>
    <t>1 Bomber Varón L negro.</t>
  </si>
  <si>
    <t>Entrega pedido FECOMAN: 18 Chamarras abajo y cuello rectos: Petróleo: 4XXL y 4XXXXL; Negro: 2XXXXL, 2XXL, 3XL; Azul Marino: 2XL, 1XXXXL.</t>
  </si>
  <si>
    <t>HERRAMIENTAS</t>
  </si>
  <si>
    <t>Cortadora</t>
  </si>
  <si>
    <t>Circular</t>
  </si>
  <si>
    <t>Plástica normal</t>
  </si>
  <si>
    <t>Piquete</t>
  </si>
  <si>
    <t>Plástico</t>
  </si>
  <si>
    <t>Metal</t>
  </si>
  <si>
    <t>Imán</t>
  </si>
  <si>
    <t>Con Guía</t>
  </si>
  <si>
    <t>Herramientas</t>
  </si>
  <si>
    <t>Pan</t>
  </si>
  <si>
    <t>Envié pedido casero Leandro: 6 Negro (2L, 2XL, 2XXL); 3 Azul M (1L, 1XL, 1XXL) y 1 Verde M XXL. 1 talla menos en la etiqueta.</t>
  </si>
  <si>
    <t>Limber</t>
  </si>
  <si>
    <t>1 Bomber Varón M Guindo.</t>
  </si>
  <si>
    <t>Día del padre</t>
  </si>
  <si>
    <t>Viaje ARICA-TACNA</t>
  </si>
  <si>
    <t>Audífonos</t>
  </si>
  <si>
    <t>Bombers cortadas: Jaypura 288 (96 capas: 32Negro, 10Verde, 30Negro, 30Azul); Polar Andino (sin 2pechos L y 2 Pechos M; 51 capas - Trazo: 2M, 2L, 2XL); Tafeta (79 capas 4XL, 3L, 2M; 18 bolsillos trazados).</t>
  </si>
  <si>
    <t>Pedido Paula: 1 L negro dama + 1 XL (ancho L) Rojo entero forro liso</t>
  </si>
  <si>
    <t>Para el viaje</t>
  </si>
  <si>
    <t>Regalo de papás para el viaje</t>
  </si>
  <si>
    <t>Resumen Viaje: 800 cambiado a pesos chilenos (77,5*800=62000); Ropa 43960; Tienda 5000; Manillas 8000; Saldo 5040.</t>
  </si>
  <si>
    <t>Venta de material.</t>
  </si>
  <si>
    <t>ABRIL</t>
  </si>
  <si>
    <t>Movimiento de la cuenta BNB: 4,36 acreditado y 0,57 IVA, Saldo 3,79 de interés ganado</t>
  </si>
  <si>
    <t>Movimiento de la cuenta BMSC: 0,07 acreditado y 0,01 IVA, Saldo 0,06 de interés ganado. Pago de seguro 15 = -14,94</t>
  </si>
  <si>
    <t>Bomber Dama</t>
  </si>
  <si>
    <t>Envié pedido casero Leandro: 8 Negro (3L, 3XL, 2XXL); 2 Azul M (2M); 1 Verde M (1XL); 1 Guindo (1XL). 1 talla menos en la etiqueta. Bomber dama 1 L Azul M (Talla normal)</t>
  </si>
  <si>
    <t>70 cm</t>
  </si>
  <si>
    <t>Cierre Aluminio</t>
  </si>
  <si>
    <t>1 Bomber Varón xL Negro.</t>
  </si>
  <si>
    <t>1 Bomber Dama Crop S Negro.</t>
  </si>
  <si>
    <t>Bolsa celofán</t>
  </si>
  <si>
    <t>Envié pedido casero Leandro: 12 Negro (1M, L, 3XL, 2XXL); 2 Azul M (2M); 1 Verde M (1XL); 1 Guindo (1XL). 1 talla menos en la etiqueta.</t>
  </si>
  <si>
    <t>Chamarra Limber</t>
  </si>
  <si>
    <t>Infocal</t>
  </si>
  <si>
    <t>XXXL</t>
  </si>
  <si>
    <t>Cierres nylon 50 cm</t>
  </si>
  <si>
    <t>Bordado</t>
  </si>
  <si>
    <t>Envié pedido casero Leandro: 12 Negro (3XL, 1Xl forro liso). 1 talla menos en la etiqueta.</t>
  </si>
  <si>
    <t>Pretinas poliéster</t>
  </si>
  <si>
    <t>Torta Papá</t>
  </si>
  <si>
    <t>Entrega pedido FECOMAN: 16 Bomber Varón Negro: 1S, 2M, 6L, 5XL</t>
  </si>
  <si>
    <t>Entrega pedido Limber: 19 Chamarras: 2S, 3M, 7L, 4XL, 2XXL, 1XXXL</t>
  </si>
  <si>
    <t>Entrega pedido FECOMAN: 24 Bomber Varón con cuello recto Verde M: 4M, 12L, 8XL</t>
  </si>
  <si>
    <t>Viaje Brasil FOZ iguazú</t>
  </si>
  <si>
    <t>Entrega pedido TAWI: 12 Bomber Varón Negro: 3M, 5L, 4XL.</t>
  </si>
  <si>
    <t>Dentista mamá</t>
  </si>
  <si>
    <t>Viaje</t>
  </si>
  <si>
    <t>Dulces</t>
  </si>
  <si>
    <t>Bloqueador solar</t>
  </si>
  <si>
    <t>bolsas</t>
  </si>
  <si>
    <t>jogger</t>
  </si>
  <si>
    <t>salida con Paola</t>
  </si>
  <si>
    <t>Caqueta bomber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</si>
</sst>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theme="4"/>
      </patternFill>
    </fill>
    <fill>
      <patternFill patternType="solid">
        <fgColor theme="5" tint="0.59999389629810485"/>
        <bgColor indexed="65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10" fillId="8" borderId="0" applyNumberFormat="0" applyBorder="0" applyAlignment="0" applyProtection="0"/>
  </cellStyleXfs>
  <cellXfs count="236">
    <xf numFmtId="0" fontId="0" fillId="0" borderId="0" xfId="0"/>
    <xf numFmtId="0" fontId="2" fillId="0" borderId="7" xfId="0" applyFont="1" applyBorder="1"/>
    <xf numFmtId="0" fontId="2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3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2" xfId="0" applyBorder="1"/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2" borderId="0" xfId="0" applyFill="1"/>
    <xf numFmtId="0" fontId="0" fillId="0" borderId="21" xfId="0" applyBorder="1"/>
    <xf numFmtId="0" fontId="0" fillId="0" borderId="24" xfId="0" applyBorder="1"/>
    <xf numFmtId="0" fontId="0" fillId="0" borderId="25" xfId="0" applyBorder="1"/>
    <xf numFmtId="0" fontId="0" fillId="0" borderId="23" xfId="0" applyBorder="1"/>
    <xf numFmtId="0" fontId="0" fillId="0" borderId="5" xfId="0" applyBorder="1"/>
    <xf numFmtId="0" fontId="0" fillId="0" borderId="11" xfId="0" applyBorder="1"/>
    <xf numFmtId="0" fontId="0" fillId="2" borderId="9" xfId="0" applyFill="1" applyBorder="1"/>
    <xf numFmtId="0" fontId="0" fillId="2" borderId="21" xfId="0" applyFill="1" applyBorder="1"/>
    <xf numFmtId="0" fontId="2" fillId="0" borderId="12" xfId="0" applyFont="1" applyBorder="1"/>
    <xf numFmtId="0" fontId="2" fillId="2" borderId="2" xfId="0" applyFont="1" applyFill="1" applyBorder="1" applyAlignment="1">
      <alignment horizontal="center"/>
    </xf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6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31" xfId="0" applyBorder="1"/>
    <xf numFmtId="0" fontId="0" fillId="0" borderId="6" xfId="0" applyBorder="1"/>
    <xf numFmtId="0" fontId="0" fillId="0" borderId="4" xfId="0" applyBorder="1"/>
    <xf numFmtId="0" fontId="0" fillId="0" borderId="31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32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1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3" xfId="0" applyBorder="1" applyAlignment="1">
      <alignment horizontal="left"/>
    </xf>
    <xf numFmtId="0" fontId="4" fillId="3" borderId="0" xfId="1"/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0" borderId="10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31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12" xfId="0" applyBorder="1" applyAlignment="1">
      <alignment horizontal="left" vertical="top"/>
    </xf>
    <xf numFmtId="0" fontId="0" fillId="0" borderId="7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vertical="top"/>
    </xf>
    <xf numFmtId="0" fontId="2" fillId="0" borderId="7" xfId="0" applyFont="1" applyBorder="1" applyAlignment="1">
      <alignment horizontal="left" vertical="top"/>
    </xf>
    <xf numFmtId="0" fontId="0" fillId="0" borderId="7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31" xfId="0" applyBorder="1" applyAlignment="1">
      <alignment horizontal="right" vertical="top"/>
    </xf>
    <xf numFmtId="0" fontId="0" fillId="0" borderId="10" xfId="0" applyBorder="1" applyAlignment="1">
      <alignment horizontal="right" vertical="top"/>
    </xf>
    <xf numFmtId="0" fontId="0" fillId="0" borderId="13" xfId="0" applyBorder="1" applyAlignment="1">
      <alignment horizontal="right" vertical="top"/>
    </xf>
    <xf numFmtId="0" fontId="4" fillId="3" borderId="13" xfId="1" applyBorder="1"/>
    <xf numFmtId="16" fontId="0" fillId="0" borderId="7" xfId="0" applyNumberFormat="1" applyBorder="1"/>
    <xf numFmtId="0" fontId="0" fillId="0" borderId="11" xfId="0" applyBorder="1" applyAlignment="1">
      <alignment vertical="top"/>
    </xf>
    <xf numFmtId="0" fontId="0" fillId="0" borderId="21" xfId="0" applyBorder="1" applyAlignment="1">
      <alignment vertical="top"/>
    </xf>
    <xf numFmtId="16" fontId="0" fillId="0" borderId="8" xfId="0" applyNumberFormat="1" applyBorder="1" applyAlignment="1">
      <alignment vertical="top"/>
    </xf>
    <xf numFmtId="16" fontId="0" fillId="0" borderId="8" xfId="0" applyNumberFormat="1" applyBorder="1"/>
    <xf numFmtId="0" fontId="0" fillId="0" borderId="33" xfId="0" applyBorder="1"/>
    <xf numFmtId="0" fontId="0" fillId="0" borderId="30" xfId="0" applyBorder="1"/>
    <xf numFmtId="0" fontId="0" fillId="0" borderId="29" xfId="0" applyBorder="1"/>
    <xf numFmtId="0" fontId="0" fillId="0" borderId="17" xfId="0" applyBorder="1"/>
    <xf numFmtId="0" fontId="6" fillId="5" borderId="0" xfId="3"/>
    <xf numFmtId="0" fontId="5" fillId="4" borderId="31" xfId="2" applyBorder="1" applyAlignment="1">
      <alignment horizontal="left" vertical="top"/>
    </xf>
    <xf numFmtId="14" fontId="5" fillId="4" borderId="1" xfId="2" applyNumberFormat="1" applyBorder="1" applyAlignment="1">
      <alignment horizontal="left" vertical="top"/>
    </xf>
    <xf numFmtId="0" fontId="5" fillId="4" borderId="1" xfId="2" applyBorder="1" applyAlignment="1">
      <alignment horizontal="left" vertical="top"/>
    </xf>
    <xf numFmtId="0" fontId="5" fillId="4" borderId="13" xfId="2" applyBorder="1" applyAlignment="1">
      <alignment horizontal="left" vertical="top"/>
    </xf>
    <xf numFmtId="0" fontId="5" fillId="4" borderId="4" xfId="2" applyBorder="1" applyAlignment="1">
      <alignment horizontal="left" vertical="top"/>
    </xf>
    <xf numFmtId="0" fontId="4" fillId="3" borderId="9" xfId="1" applyBorder="1" applyAlignment="1">
      <alignment horizontal="left" vertical="top"/>
    </xf>
    <xf numFmtId="0" fontId="4" fillId="3" borderId="8" xfId="1" applyBorder="1" applyAlignment="1">
      <alignment horizontal="left" vertical="top"/>
    </xf>
    <xf numFmtId="0" fontId="0" fillId="0" borderId="38" xfId="0" applyBorder="1"/>
    <xf numFmtId="0" fontId="7" fillId="6" borderId="0" xfId="4" applyFont="1"/>
    <xf numFmtId="0" fontId="4" fillId="3" borderId="38" xfId="1" applyBorder="1"/>
    <xf numFmtId="16" fontId="0" fillId="0" borderId="9" xfId="0" applyNumberFormat="1" applyBorder="1"/>
    <xf numFmtId="16" fontId="0" fillId="0" borderId="10" xfId="0" applyNumberFormat="1" applyBorder="1"/>
    <xf numFmtId="0" fontId="6" fillId="5" borderId="20" xfId="3" applyBorder="1"/>
    <xf numFmtId="0" fontId="4" fillId="3" borderId="21" xfId="1" applyBorder="1" applyAlignment="1">
      <alignment horizontal="center"/>
    </xf>
    <xf numFmtId="0" fontId="4" fillId="3" borderId="0" xfId="1" applyBorder="1" applyAlignment="1">
      <alignment horizontal="center"/>
    </xf>
    <xf numFmtId="0" fontId="10" fillId="8" borderId="0" xfId="6"/>
    <xf numFmtId="0" fontId="8" fillId="7" borderId="0" xfId="5"/>
    <xf numFmtId="0" fontId="0" fillId="0" borderId="31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14" fontId="0" fillId="0" borderId="31" xfId="0" applyNumberFormat="1" applyBorder="1" applyAlignment="1">
      <alignment horizontal="left" vertical="top"/>
    </xf>
    <xf numFmtId="14" fontId="0" fillId="0" borderId="13" xfId="0" applyNumberFormat="1" applyBorder="1" applyAlignment="1">
      <alignment horizontal="left" vertical="top"/>
    </xf>
    <xf numFmtId="0" fontId="0" fillId="0" borderId="3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5" fillId="4" borderId="31" xfId="2" applyBorder="1" applyAlignment="1">
      <alignment horizontal="left" vertical="top"/>
    </xf>
    <xf numFmtId="0" fontId="5" fillId="4" borderId="13" xfId="2" applyBorder="1" applyAlignment="1">
      <alignment horizontal="left" vertical="top"/>
    </xf>
    <xf numFmtId="0" fontId="4" fillId="3" borderId="0" xfId="1" applyAlignment="1">
      <alignment horizontal="center"/>
    </xf>
    <xf numFmtId="0" fontId="4" fillId="3" borderId="7" xfId="1" applyBorder="1" applyAlignment="1">
      <alignment horizontal="center" vertical="top"/>
    </xf>
    <xf numFmtId="0" fontId="4" fillId="3" borderId="12" xfId="1" applyBorder="1" applyAlignment="1">
      <alignment horizontal="center" vertical="top"/>
    </xf>
    <xf numFmtId="0" fontId="4" fillId="3" borderId="11" xfId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0" fontId="9" fillId="0" borderId="11" xfId="0" applyFont="1" applyBorder="1" applyAlignment="1">
      <alignment horizontal="center" vertical="top"/>
    </xf>
    <xf numFmtId="0" fontId="0" fillId="0" borderId="10" xfId="0" applyBorder="1" applyAlignment="1">
      <alignment horizontal="left" vertical="top"/>
    </xf>
    <xf numFmtId="14" fontId="0" fillId="0" borderId="10" xfId="0" applyNumberFormat="1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4" fillId="3" borderId="12" xfId="1" applyBorder="1" applyAlignment="1">
      <alignment horizontal="center"/>
    </xf>
    <xf numFmtId="0" fontId="4" fillId="3" borderId="11" xfId="1" applyBorder="1" applyAlignment="1">
      <alignment horizontal="center"/>
    </xf>
    <xf numFmtId="0" fontId="4" fillId="3" borderId="7" xfId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3" borderId="1" xfId="1" applyBorder="1" applyAlignment="1">
      <alignment horizontal="center"/>
    </xf>
    <xf numFmtId="0" fontId="4" fillId="3" borderId="3" xfId="1" applyBorder="1" applyAlignment="1">
      <alignment horizontal="center"/>
    </xf>
    <xf numFmtId="0" fontId="4" fillId="3" borderId="9" xfId="1" applyBorder="1" applyAlignment="1">
      <alignment horizontal="center"/>
    </xf>
    <xf numFmtId="0" fontId="4" fillId="3" borderId="21" xfId="1" applyBorder="1" applyAlignment="1">
      <alignment horizontal="center"/>
    </xf>
    <xf numFmtId="0" fontId="4" fillId="3" borderId="9" xfId="1" applyBorder="1" applyAlignment="1">
      <alignment horizontal="center" vertical="center"/>
    </xf>
    <xf numFmtId="0" fontId="4" fillId="3" borderId="21" xfId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3" borderId="4" xfId="1" applyBorder="1" applyAlignment="1">
      <alignment horizontal="center" vertical="center"/>
    </xf>
    <xf numFmtId="0" fontId="4" fillId="3" borderId="6" xfId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4" fillId="3" borderId="4" xfId="1" applyBorder="1" applyAlignment="1">
      <alignment horizontal="center"/>
    </xf>
    <xf numFmtId="0" fontId="4" fillId="3" borderId="6" xfId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4" fillId="3" borderId="1" xfId="1" applyBorder="1" applyAlignment="1">
      <alignment horizontal="center" vertical="center"/>
    </xf>
    <xf numFmtId="0" fontId="4" fillId="3" borderId="3" xfId="1" applyBorder="1" applyAlignment="1">
      <alignment horizontal="center" vertical="center"/>
    </xf>
    <xf numFmtId="2" fontId="0" fillId="0" borderId="12" xfId="0" applyNumberFormat="1" applyBorder="1" applyAlignment="1">
      <alignment horizontal="left"/>
    </xf>
    <xf numFmtId="2" fontId="0" fillId="0" borderId="11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3" borderId="7" xfId="1" applyBorder="1" applyAlignment="1">
      <alignment horizontal="center" vertical="center"/>
    </xf>
    <xf numFmtId="0" fontId="4" fillId="3" borderId="11" xfId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right" vertical="top"/>
    </xf>
    <xf numFmtId="0" fontId="0" fillId="0" borderId="9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0" fillId="0" borderId="21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0" borderId="7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16" fontId="0" fillId="0" borderId="31" xfId="0" applyNumberFormat="1" applyBorder="1" applyAlignment="1">
      <alignment horizontal="right" vertical="top"/>
    </xf>
    <xf numFmtId="0" fontId="0" fillId="0" borderId="13" xfId="0" applyBorder="1" applyAlignment="1">
      <alignment horizontal="right" vertical="top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</cellXfs>
  <cellStyles count="7">
    <cellStyle name="40% - Énfasis2" xfId="6" builtinId="35"/>
    <cellStyle name="Bueno" xfId="1" builtinId="26"/>
    <cellStyle name="Énfasis1" xfId="5" builtinId="29"/>
    <cellStyle name="Énfasis5" xfId="4" builtinId="45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727C-9DE2-4010-A311-97A97D9D699C}">
  <dimension ref="C1:Q1058"/>
  <sheetViews>
    <sheetView tabSelected="1" zoomScale="70" zoomScaleNormal="70" workbookViewId="0">
      <pane ySplit="3" topLeftCell="A1019" activePane="bottomLeft" state="frozen"/>
      <selection pane="bottomLeft" activeCell="K1060" sqref="K1060"/>
    </sheetView>
  </sheetViews>
  <sheetFormatPr baseColWidth="10" defaultRowHeight="15" x14ac:dyDescent="0.25"/>
  <cols>
    <col min="1" max="2" width="2.7109375" customWidth="1"/>
    <col min="3" max="3" width="5.7109375" style="3" customWidth="1"/>
    <col min="4" max="4" width="10.7109375" style="3" customWidth="1"/>
    <col min="5" max="5" width="13.7109375" style="3" customWidth="1"/>
    <col min="6" max="6" width="100.7109375" style="3" customWidth="1"/>
    <col min="7" max="7" width="13.7109375" style="3" customWidth="1"/>
    <col min="8" max="8" width="13.7109375" style="4" customWidth="1"/>
    <col min="9" max="10" width="2.7109375" customWidth="1"/>
    <col min="12" max="13" width="11.42578125" customWidth="1"/>
    <col min="14" max="14" width="10.7109375" customWidth="1"/>
  </cols>
  <sheetData>
    <row r="1" spans="3:14" x14ac:dyDescent="0.25">
      <c r="C1" s="129" t="s">
        <v>0</v>
      </c>
      <c r="D1" s="130"/>
      <c r="E1" s="130"/>
      <c r="F1" s="130"/>
      <c r="G1" s="130"/>
      <c r="H1" s="131"/>
    </row>
    <row r="2" spans="3:14" ht="15.75" thickBot="1" x14ac:dyDescent="0.3">
      <c r="C2" s="132"/>
      <c r="D2" s="133"/>
      <c r="E2" s="133"/>
      <c r="F2" s="133"/>
      <c r="G2" s="133"/>
      <c r="H2" s="134"/>
    </row>
    <row r="3" spans="3:14" ht="15.75" thickBot="1" x14ac:dyDescent="0.3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" t="s">
        <v>6</v>
      </c>
    </row>
    <row r="4" spans="3:14" x14ac:dyDescent="0.25">
      <c r="C4" s="105">
        <v>1</v>
      </c>
      <c r="D4" s="107">
        <v>45658</v>
      </c>
      <c r="E4" s="38">
        <v>6</v>
      </c>
      <c r="F4" s="105" t="s">
        <v>95</v>
      </c>
      <c r="G4" s="38">
        <v>16801</v>
      </c>
      <c r="H4" s="37"/>
    </row>
    <row r="5" spans="3:14" ht="15.75" thickBot="1" x14ac:dyDescent="0.3">
      <c r="C5" s="106"/>
      <c r="D5" s="108"/>
      <c r="E5" s="40">
        <v>1</v>
      </c>
      <c r="F5" s="106"/>
      <c r="G5" s="40"/>
      <c r="H5" s="39">
        <v>16801</v>
      </c>
    </row>
    <row r="6" spans="3:14" ht="15.75" thickBot="1" x14ac:dyDescent="0.3">
      <c r="C6" s="105">
        <v>2</v>
      </c>
      <c r="D6" s="107">
        <v>45658</v>
      </c>
      <c r="E6" s="38">
        <v>12</v>
      </c>
      <c r="F6" s="105" t="s">
        <v>131</v>
      </c>
      <c r="G6" s="38">
        <v>8.15</v>
      </c>
      <c r="H6" s="37"/>
    </row>
    <row r="7" spans="3:14" ht="15.75" thickBot="1" x14ac:dyDescent="0.3">
      <c r="C7" s="106"/>
      <c r="D7" s="108"/>
      <c r="E7" s="40">
        <v>1</v>
      </c>
      <c r="F7" s="106"/>
      <c r="G7" s="40"/>
      <c r="H7" s="39">
        <v>8.15</v>
      </c>
      <c r="L7" s="25" t="s">
        <v>1</v>
      </c>
      <c r="M7" s="125" t="s">
        <v>26</v>
      </c>
      <c r="N7" s="126"/>
    </row>
    <row r="8" spans="3:14" x14ac:dyDescent="0.25">
      <c r="C8" s="105">
        <v>3</v>
      </c>
      <c r="D8" s="107">
        <v>45658</v>
      </c>
      <c r="E8" s="38">
        <v>1</v>
      </c>
      <c r="F8" s="109" t="s">
        <v>132</v>
      </c>
      <c r="G8" s="38">
        <v>14.77</v>
      </c>
      <c r="H8" s="37"/>
      <c r="L8" s="26">
        <v>1</v>
      </c>
      <c r="M8" s="135" t="s">
        <v>27</v>
      </c>
      <c r="N8" s="136"/>
    </row>
    <row r="9" spans="3:14" ht="15.75" thickBot="1" x14ac:dyDescent="0.3">
      <c r="C9" s="106"/>
      <c r="D9" s="108"/>
      <c r="E9" s="40">
        <v>12</v>
      </c>
      <c r="F9" s="110"/>
      <c r="G9" s="40"/>
      <c r="H9" s="39">
        <v>14.77</v>
      </c>
      <c r="L9" s="27">
        <v>2</v>
      </c>
      <c r="M9" s="123" t="s">
        <v>25</v>
      </c>
      <c r="N9" s="124"/>
    </row>
    <row r="10" spans="3:14" x14ac:dyDescent="0.25">
      <c r="C10" s="105">
        <v>4</v>
      </c>
      <c r="D10" s="107">
        <v>45658</v>
      </c>
      <c r="E10" s="38">
        <v>4</v>
      </c>
      <c r="F10" s="109" t="s">
        <v>133</v>
      </c>
      <c r="G10" s="38">
        <v>100</v>
      </c>
      <c r="H10" s="37"/>
      <c r="L10" s="27">
        <v>3</v>
      </c>
      <c r="M10" s="123" t="s">
        <v>28</v>
      </c>
      <c r="N10" s="124"/>
    </row>
    <row r="11" spans="3:14" ht="15.75" thickBot="1" x14ac:dyDescent="0.3">
      <c r="C11" s="106"/>
      <c r="D11" s="108"/>
      <c r="E11" s="40">
        <v>1</v>
      </c>
      <c r="F11" s="110"/>
      <c r="G11" s="40"/>
      <c r="H11" s="39">
        <v>100</v>
      </c>
      <c r="L11" s="27">
        <v>4</v>
      </c>
      <c r="M11" s="123" t="s">
        <v>29</v>
      </c>
      <c r="N11" s="124"/>
    </row>
    <row r="12" spans="3:14" x14ac:dyDescent="0.25">
      <c r="C12" s="105">
        <v>5</v>
      </c>
      <c r="D12" s="107">
        <v>45658</v>
      </c>
      <c r="E12" s="38">
        <v>1</v>
      </c>
      <c r="F12" s="109" t="s">
        <v>134</v>
      </c>
      <c r="G12" s="38">
        <v>44.2</v>
      </c>
      <c r="H12" s="37"/>
      <c r="L12" s="27">
        <v>5</v>
      </c>
      <c r="M12" s="123" t="s">
        <v>30</v>
      </c>
      <c r="N12" s="124"/>
    </row>
    <row r="13" spans="3:14" ht="15.75" thickBot="1" x14ac:dyDescent="0.3">
      <c r="C13" s="106"/>
      <c r="D13" s="108"/>
      <c r="E13" s="40">
        <v>7</v>
      </c>
      <c r="F13" s="110"/>
      <c r="G13" s="40"/>
      <c r="H13" s="39">
        <v>44.2</v>
      </c>
      <c r="L13" s="27">
        <v>6</v>
      </c>
      <c r="M13" s="123" t="s">
        <v>113</v>
      </c>
      <c r="N13" s="124"/>
    </row>
    <row r="14" spans="3:14" x14ac:dyDescent="0.25">
      <c r="C14" s="105">
        <v>6</v>
      </c>
      <c r="D14" s="107">
        <v>45658</v>
      </c>
      <c r="E14" s="38">
        <v>1</v>
      </c>
      <c r="F14" s="109" t="s">
        <v>135</v>
      </c>
      <c r="G14" s="38">
        <v>19</v>
      </c>
      <c r="H14" s="37"/>
      <c r="L14" s="27">
        <v>7</v>
      </c>
      <c r="M14" s="123" t="s">
        <v>114</v>
      </c>
      <c r="N14" s="124"/>
    </row>
    <row r="15" spans="3:14" ht="15.75" thickBot="1" x14ac:dyDescent="0.3">
      <c r="C15" s="106"/>
      <c r="D15" s="108"/>
      <c r="E15" s="40">
        <v>12</v>
      </c>
      <c r="F15" s="110"/>
      <c r="G15" s="40"/>
      <c r="H15" s="39">
        <v>19</v>
      </c>
      <c r="L15" s="27">
        <v>8</v>
      </c>
      <c r="M15" s="123" t="s">
        <v>115</v>
      </c>
      <c r="N15" s="124"/>
    </row>
    <row r="16" spans="3:14" x14ac:dyDescent="0.25">
      <c r="C16" s="105">
        <v>7</v>
      </c>
      <c r="D16" s="107">
        <v>45659</v>
      </c>
      <c r="E16" s="38">
        <v>4</v>
      </c>
      <c r="F16" s="109" t="s">
        <v>136</v>
      </c>
      <c r="G16" s="38">
        <v>100</v>
      </c>
      <c r="H16" s="37"/>
      <c r="L16" s="27">
        <v>9</v>
      </c>
      <c r="M16" s="123" t="s">
        <v>116</v>
      </c>
      <c r="N16" s="124"/>
    </row>
    <row r="17" spans="3:14" x14ac:dyDescent="0.25">
      <c r="C17" s="120"/>
      <c r="D17" s="121"/>
      <c r="E17" s="54">
        <v>1</v>
      </c>
      <c r="F17" s="122"/>
      <c r="G17" s="54">
        <v>2</v>
      </c>
      <c r="H17" s="53"/>
      <c r="L17" s="27">
        <v>10</v>
      </c>
      <c r="M17" s="123" t="s">
        <v>117</v>
      </c>
      <c r="N17" s="124"/>
    </row>
    <row r="18" spans="3:14" x14ac:dyDescent="0.25">
      <c r="C18" s="120"/>
      <c r="D18" s="121"/>
      <c r="E18" s="54">
        <v>1</v>
      </c>
      <c r="F18" s="122"/>
      <c r="G18" s="54"/>
      <c r="H18" s="53">
        <v>100</v>
      </c>
      <c r="L18" s="27">
        <v>11</v>
      </c>
      <c r="M18" s="123" t="s">
        <v>186</v>
      </c>
      <c r="N18" s="124"/>
    </row>
    <row r="19" spans="3:14" ht="15.75" thickBot="1" x14ac:dyDescent="0.3">
      <c r="C19" s="106"/>
      <c r="D19" s="108"/>
      <c r="E19" s="40">
        <v>5</v>
      </c>
      <c r="F19" s="110"/>
      <c r="G19" s="40"/>
      <c r="H19" s="39">
        <v>2</v>
      </c>
      <c r="L19" s="27">
        <v>12</v>
      </c>
      <c r="M19" s="123" t="s">
        <v>118</v>
      </c>
      <c r="N19" s="124"/>
    </row>
    <row r="20" spans="3:14" x14ac:dyDescent="0.25">
      <c r="C20" s="105">
        <v>8</v>
      </c>
      <c r="D20" s="107">
        <v>45659</v>
      </c>
      <c r="E20" s="38">
        <v>4</v>
      </c>
      <c r="F20" s="109" t="s">
        <v>137</v>
      </c>
      <c r="G20" s="38">
        <v>130</v>
      </c>
      <c r="H20" s="37"/>
      <c r="L20" s="27">
        <v>13</v>
      </c>
      <c r="M20" s="123" t="s">
        <v>119</v>
      </c>
      <c r="N20" s="124"/>
    </row>
    <row r="21" spans="3:14" ht="15.75" thickBot="1" x14ac:dyDescent="0.3">
      <c r="C21" s="106"/>
      <c r="D21" s="108"/>
      <c r="E21" s="40">
        <v>1</v>
      </c>
      <c r="F21" s="110"/>
      <c r="G21" s="40"/>
      <c r="H21" s="39">
        <v>130</v>
      </c>
      <c r="L21" s="27">
        <v>14</v>
      </c>
      <c r="M21" s="123" t="s">
        <v>120</v>
      </c>
      <c r="N21" s="124"/>
    </row>
    <row r="22" spans="3:14" ht="15.75" thickBot="1" x14ac:dyDescent="0.3">
      <c r="C22" s="105">
        <v>9</v>
      </c>
      <c r="D22" s="107">
        <v>45659</v>
      </c>
      <c r="E22" s="38">
        <v>4</v>
      </c>
      <c r="F22" s="109" t="s">
        <v>145</v>
      </c>
      <c r="G22" s="38">
        <v>200</v>
      </c>
      <c r="H22" s="37"/>
      <c r="L22" s="28">
        <v>15</v>
      </c>
      <c r="M22" s="127" t="s">
        <v>121</v>
      </c>
      <c r="N22" s="128"/>
    </row>
    <row r="23" spans="3:14" x14ac:dyDescent="0.25">
      <c r="C23" s="120"/>
      <c r="D23" s="121"/>
      <c r="E23" s="54">
        <v>1</v>
      </c>
      <c r="F23" s="122"/>
      <c r="G23" s="54">
        <v>1.5</v>
      </c>
      <c r="H23" s="53"/>
    </row>
    <row r="24" spans="3:14" x14ac:dyDescent="0.25">
      <c r="C24" s="120"/>
      <c r="D24" s="121"/>
      <c r="E24" s="54">
        <v>1</v>
      </c>
      <c r="F24" s="122"/>
      <c r="G24" s="54"/>
      <c r="H24" s="53">
        <v>200</v>
      </c>
    </row>
    <row r="25" spans="3:14" ht="15.75" thickBot="1" x14ac:dyDescent="0.3">
      <c r="C25" s="106"/>
      <c r="D25" s="108"/>
      <c r="E25" s="40">
        <v>5</v>
      </c>
      <c r="F25" s="110"/>
      <c r="G25" s="40"/>
      <c r="H25" s="39">
        <v>1.5</v>
      </c>
    </row>
    <row r="26" spans="3:14" x14ac:dyDescent="0.25">
      <c r="C26" s="105">
        <v>10</v>
      </c>
      <c r="D26" s="107">
        <v>45659</v>
      </c>
      <c r="E26" s="38">
        <v>15</v>
      </c>
      <c r="F26" s="109" t="s">
        <v>139</v>
      </c>
      <c r="G26" s="38">
        <v>6</v>
      </c>
      <c r="H26" s="37"/>
    </row>
    <row r="27" spans="3:14" ht="15.75" thickBot="1" x14ac:dyDescent="0.3">
      <c r="C27" s="106"/>
      <c r="D27" s="108"/>
      <c r="E27" s="40">
        <v>1</v>
      </c>
      <c r="F27" s="110"/>
      <c r="G27" s="40"/>
      <c r="H27" s="39">
        <v>6</v>
      </c>
    </row>
    <row r="28" spans="3:14" x14ac:dyDescent="0.25">
      <c r="C28" s="105">
        <v>11</v>
      </c>
      <c r="D28" s="107">
        <v>45659</v>
      </c>
      <c r="E28" s="38">
        <v>1</v>
      </c>
      <c r="F28" s="109" t="s">
        <v>140</v>
      </c>
      <c r="G28" s="38">
        <v>143</v>
      </c>
      <c r="H28" s="37"/>
    </row>
    <row r="29" spans="3:14" ht="15.75" thickBot="1" x14ac:dyDescent="0.3">
      <c r="C29" s="106"/>
      <c r="D29" s="108"/>
      <c r="E29" s="40">
        <v>7</v>
      </c>
      <c r="F29" s="110"/>
      <c r="G29" s="40"/>
      <c r="H29" s="39">
        <v>143</v>
      </c>
    </row>
    <row r="30" spans="3:14" x14ac:dyDescent="0.25">
      <c r="C30" s="105">
        <v>12</v>
      </c>
      <c r="D30" s="107">
        <v>45659</v>
      </c>
      <c r="E30" s="38">
        <v>4</v>
      </c>
      <c r="F30" s="109" t="s">
        <v>141</v>
      </c>
      <c r="G30" s="38">
        <v>200</v>
      </c>
      <c r="H30" s="37"/>
    </row>
    <row r="31" spans="3:14" ht="15.75" thickBot="1" x14ac:dyDescent="0.3">
      <c r="C31" s="106"/>
      <c r="D31" s="108"/>
      <c r="E31" s="40">
        <v>1</v>
      </c>
      <c r="F31" s="110"/>
      <c r="G31" s="40"/>
      <c r="H31" s="39">
        <v>200</v>
      </c>
    </row>
    <row r="32" spans="3:14" x14ac:dyDescent="0.25">
      <c r="C32" s="105">
        <v>13</v>
      </c>
      <c r="D32" s="107">
        <v>45659</v>
      </c>
      <c r="E32" s="38">
        <v>4</v>
      </c>
      <c r="F32" s="109" t="s">
        <v>144</v>
      </c>
      <c r="G32" s="38">
        <v>100</v>
      </c>
      <c r="H32" s="37"/>
    </row>
    <row r="33" spans="3:8" ht="15.75" thickBot="1" x14ac:dyDescent="0.3">
      <c r="C33" s="106"/>
      <c r="D33" s="108"/>
      <c r="E33" s="40">
        <v>1</v>
      </c>
      <c r="F33" s="110"/>
      <c r="G33" s="40"/>
      <c r="H33" s="39">
        <v>100</v>
      </c>
    </row>
    <row r="34" spans="3:8" x14ac:dyDescent="0.25">
      <c r="C34" s="105">
        <v>14</v>
      </c>
      <c r="D34" s="107">
        <v>45659</v>
      </c>
      <c r="E34" s="38">
        <v>4</v>
      </c>
      <c r="F34" s="109" t="s">
        <v>142</v>
      </c>
      <c r="G34" s="38">
        <v>55</v>
      </c>
      <c r="H34" s="37"/>
    </row>
    <row r="35" spans="3:8" ht="15.75" thickBot="1" x14ac:dyDescent="0.3">
      <c r="C35" s="106"/>
      <c r="D35" s="108"/>
      <c r="E35" s="40">
        <v>1</v>
      </c>
      <c r="F35" s="110"/>
      <c r="G35" s="40"/>
      <c r="H35" s="39">
        <v>55</v>
      </c>
    </row>
    <row r="36" spans="3:8" x14ac:dyDescent="0.25">
      <c r="C36" s="105">
        <v>15</v>
      </c>
      <c r="D36" s="107">
        <v>45659</v>
      </c>
      <c r="E36" s="38">
        <v>4</v>
      </c>
      <c r="F36" s="109" t="s">
        <v>164</v>
      </c>
      <c r="G36" s="38">
        <v>280</v>
      </c>
      <c r="H36" s="37"/>
    </row>
    <row r="37" spans="3:8" ht="15.75" thickBot="1" x14ac:dyDescent="0.3">
      <c r="C37" s="106"/>
      <c r="D37" s="108"/>
      <c r="E37" s="40">
        <v>1</v>
      </c>
      <c r="F37" s="110"/>
      <c r="G37" s="40"/>
      <c r="H37" s="39">
        <v>280</v>
      </c>
    </row>
    <row r="38" spans="3:8" x14ac:dyDescent="0.25">
      <c r="C38" s="105">
        <v>16</v>
      </c>
      <c r="D38" s="107">
        <v>45659</v>
      </c>
      <c r="E38" s="38">
        <v>4</v>
      </c>
      <c r="F38" s="109" t="s">
        <v>143</v>
      </c>
      <c r="G38" s="38">
        <v>64</v>
      </c>
      <c r="H38" s="37"/>
    </row>
    <row r="39" spans="3:8" ht="15.75" thickBot="1" x14ac:dyDescent="0.3">
      <c r="C39" s="106"/>
      <c r="D39" s="108"/>
      <c r="E39" s="40">
        <v>1</v>
      </c>
      <c r="F39" s="110"/>
      <c r="G39" s="40"/>
      <c r="H39" s="39">
        <v>64</v>
      </c>
    </row>
    <row r="40" spans="3:8" x14ac:dyDescent="0.25">
      <c r="C40" s="105">
        <v>17</v>
      </c>
      <c r="D40" s="107">
        <v>45659</v>
      </c>
      <c r="E40" s="38">
        <v>4</v>
      </c>
      <c r="F40" s="109" t="s">
        <v>144</v>
      </c>
      <c r="G40" s="38">
        <v>80</v>
      </c>
      <c r="H40" s="37"/>
    </row>
    <row r="41" spans="3:8" ht="15.75" thickBot="1" x14ac:dyDescent="0.3">
      <c r="C41" s="106"/>
      <c r="D41" s="108"/>
      <c r="E41" s="40">
        <v>1</v>
      </c>
      <c r="F41" s="110"/>
      <c r="G41" s="40"/>
      <c r="H41" s="39">
        <v>80</v>
      </c>
    </row>
    <row r="42" spans="3:8" x14ac:dyDescent="0.25">
      <c r="C42" s="105">
        <v>18</v>
      </c>
      <c r="D42" s="107">
        <v>45660</v>
      </c>
      <c r="E42" s="38">
        <v>4</v>
      </c>
      <c r="F42" s="109" t="s">
        <v>146</v>
      </c>
      <c r="G42" s="38">
        <v>100</v>
      </c>
      <c r="H42" s="37"/>
    </row>
    <row r="43" spans="3:8" x14ac:dyDescent="0.25">
      <c r="C43" s="120"/>
      <c r="D43" s="121"/>
      <c r="E43" s="54">
        <v>1</v>
      </c>
      <c r="F43" s="122"/>
      <c r="G43" s="54">
        <v>2</v>
      </c>
      <c r="H43" s="53"/>
    </row>
    <row r="44" spans="3:8" x14ac:dyDescent="0.25">
      <c r="C44" s="120"/>
      <c r="D44" s="121"/>
      <c r="E44" s="54">
        <v>1</v>
      </c>
      <c r="F44" s="122"/>
      <c r="G44" s="54"/>
      <c r="H44" s="53">
        <v>100</v>
      </c>
    </row>
    <row r="45" spans="3:8" ht="15.75" thickBot="1" x14ac:dyDescent="0.3">
      <c r="C45" s="106"/>
      <c r="D45" s="108"/>
      <c r="E45" s="40">
        <v>5</v>
      </c>
      <c r="F45" s="110"/>
      <c r="G45" s="40"/>
      <c r="H45" s="39">
        <v>2</v>
      </c>
    </row>
    <row r="46" spans="3:8" x14ac:dyDescent="0.25">
      <c r="C46" s="105">
        <v>19</v>
      </c>
      <c r="D46" s="107">
        <v>45660</v>
      </c>
      <c r="E46" s="38">
        <v>4</v>
      </c>
      <c r="F46" s="109" t="s">
        <v>147</v>
      </c>
      <c r="G46" s="38">
        <v>105</v>
      </c>
      <c r="H46" s="37"/>
    </row>
    <row r="47" spans="3:8" x14ac:dyDescent="0.25">
      <c r="C47" s="120"/>
      <c r="D47" s="121"/>
      <c r="E47" s="54">
        <v>1</v>
      </c>
      <c r="F47" s="122"/>
      <c r="G47" s="54">
        <v>2</v>
      </c>
      <c r="H47" s="53"/>
    </row>
    <row r="48" spans="3:8" x14ac:dyDescent="0.25">
      <c r="C48" s="120"/>
      <c r="D48" s="121"/>
      <c r="E48" s="54">
        <v>1</v>
      </c>
      <c r="F48" s="122"/>
      <c r="G48" s="54"/>
      <c r="H48" s="53">
        <v>105</v>
      </c>
    </row>
    <row r="49" spans="3:8" ht="15.75" thickBot="1" x14ac:dyDescent="0.3">
      <c r="C49" s="106"/>
      <c r="D49" s="108"/>
      <c r="E49" s="40">
        <v>5</v>
      </c>
      <c r="F49" s="110"/>
      <c r="G49" s="40"/>
      <c r="H49" s="39">
        <v>2</v>
      </c>
    </row>
    <row r="50" spans="3:8" x14ac:dyDescent="0.25">
      <c r="C50" s="105">
        <v>20</v>
      </c>
      <c r="D50" s="107">
        <v>45660</v>
      </c>
      <c r="E50" s="38">
        <v>1</v>
      </c>
      <c r="F50" s="109" t="s">
        <v>148</v>
      </c>
      <c r="G50" s="38">
        <v>26</v>
      </c>
      <c r="H50" s="37"/>
    </row>
    <row r="51" spans="3:8" ht="15.75" thickBot="1" x14ac:dyDescent="0.3">
      <c r="C51" s="106"/>
      <c r="D51" s="108"/>
      <c r="E51" s="40">
        <v>12</v>
      </c>
      <c r="F51" s="110"/>
      <c r="G51" s="40"/>
      <c r="H51" s="39">
        <v>26</v>
      </c>
    </row>
    <row r="52" spans="3:8" x14ac:dyDescent="0.25">
      <c r="C52" s="105">
        <v>21</v>
      </c>
      <c r="D52" s="107">
        <v>45660</v>
      </c>
      <c r="E52" s="38">
        <v>4</v>
      </c>
      <c r="F52" s="109" t="s">
        <v>149</v>
      </c>
      <c r="G52" s="38">
        <v>110</v>
      </c>
      <c r="H52" s="37"/>
    </row>
    <row r="53" spans="3:8" ht="15.75" thickBot="1" x14ac:dyDescent="0.3">
      <c r="C53" s="106"/>
      <c r="D53" s="108"/>
      <c r="E53" s="40">
        <v>1</v>
      </c>
      <c r="F53" s="110"/>
      <c r="G53" s="40"/>
      <c r="H53" s="39">
        <v>110</v>
      </c>
    </row>
    <row r="54" spans="3:8" x14ac:dyDescent="0.25">
      <c r="C54" s="105">
        <v>22</v>
      </c>
      <c r="D54" s="107">
        <v>45660</v>
      </c>
      <c r="E54" s="38">
        <v>4</v>
      </c>
      <c r="F54" s="109" t="s">
        <v>133</v>
      </c>
      <c r="G54" s="38">
        <v>100</v>
      </c>
      <c r="H54" s="37"/>
    </row>
    <row r="55" spans="3:8" ht="15.75" thickBot="1" x14ac:dyDescent="0.3">
      <c r="C55" s="106"/>
      <c r="D55" s="108"/>
      <c r="E55" s="40">
        <v>1</v>
      </c>
      <c r="F55" s="110"/>
      <c r="G55" s="40"/>
      <c r="H55" s="39">
        <v>100</v>
      </c>
    </row>
    <row r="56" spans="3:8" x14ac:dyDescent="0.25">
      <c r="C56" s="105">
        <v>23</v>
      </c>
      <c r="D56" s="107">
        <v>45660</v>
      </c>
      <c r="E56" s="38">
        <v>4</v>
      </c>
      <c r="F56" s="109" t="s">
        <v>150</v>
      </c>
      <c r="G56" s="38">
        <v>180</v>
      </c>
      <c r="H56" s="37"/>
    </row>
    <row r="57" spans="3:8" ht="15.75" thickBot="1" x14ac:dyDescent="0.3">
      <c r="C57" s="106"/>
      <c r="D57" s="108"/>
      <c r="E57" s="40">
        <v>1</v>
      </c>
      <c r="F57" s="110"/>
      <c r="G57" s="40"/>
      <c r="H57" s="39">
        <v>180</v>
      </c>
    </row>
    <row r="58" spans="3:8" x14ac:dyDescent="0.25">
      <c r="C58" s="105">
        <v>24</v>
      </c>
      <c r="D58" s="107">
        <v>45660</v>
      </c>
      <c r="E58" s="38">
        <v>4</v>
      </c>
      <c r="F58" s="109" t="s">
        <v>171</v>
      </c>
      <c r="G58" s="38">
        <v>100</v>
      </c>
      <c r="H58" s="37"/>
    </row>
    <row r="59" spans="3:8" x14ac:dyDescent="0.25">
      <c r="C59" s="120"/>
      <c r="D59" s="121"/>
      <c r="E59" s="54">
        <v>1</v>
      </c>
      <c r="F59" s="122"/>
      <c r="G59" s="54">
        <v>7.2</v>
      </c>
      <c r="H59" s="53"/>
    </row>
    <row r="60" spans="3:8" x14ac:dyDescent="0.25">
      <c r="C60" s="120"/>
      <c r="D60" s="121"/>
      <c r="E60" s="54">
        <v>5</v>
      </c>
      <c r="F60" s="122"/>
      <c r="G60" s="54">
        <v>10</v>
      </c>
      <c r="H60" s="53"/>
    </row>
    <row r="61" spans="3:8" x14ac:dyDescent="0.25">
      <c r="C61" s="120"/>
      <c r="D61" s="121"/>
      <c r="E61" s="54">
        <v>1</v>
      </c>
      <c r="F61" s="122"/>
      <c r="G61" s="54"/>
      <c r="H61" s="53">
        <v>100</v>
      </c>
    </row>
    <row r="62" spans="3:8" x14ac:dyDescent="0.25">
      <c r="C62" s="120"/>
      <c r="D62" s="121"/>
      <c r="E62" s="54">
        <v>5</v>
      </c>
      <c r="F62" s="122"/>
      <c r="G62" s="54"/>
      <c r="H62" s="53">
        <v>7.2</v>
      </c>
    </row>
    <row r="63" spans="3:8" ht="15.75" thickBot="1" x14ac:dyDescent="0.3">
      <c r="C63" s="106"/>
      <c r="D63" s="108"/>
      <c r="E63" s="40">
        <v>1</v>
      </c>
      <c r="F63" s="110"/>
      <c r="G63" s="40"/>
      <c r="H63" s="39">
        <v>10</v>
      </c>
    </row>
    <row r="64" spans="3:8" x14ac:dyDescent="0.25">
      <c r="C64" s="105">
        <v>25</v>
      </c>
      <c r="D64" s="107">
        <v>45661</v>
      </c>
      <c r="E64" s="38">
        <v>1</v>
      </c>
      <c r="F64" s="109" t="s">
        <v>7</v>
      </c>
      <c r="G64" s="38">
        <v>307.63</v>
      </c>
      <c r="H64" s="37"/>
    </row>
    <row r="65" spans="3:8" ht="15.75" thickBot="1" x14ac:dyDescent="0.3">
      <c r="C65" s="106"/>
      <c r="D65" s="108"/>
      <c r="E65" s="40">
        <v>2</v>
      </c>
      <c r="F65" s="110"/>
      <c r="G65" s="40"/>
      <c r="H65" s="39">
        <v>307.63</v>
      </c>
    </row>
    <row r="66" spans="3:8" x14ac:dyDescent="0.25">
      <c r="C66" s="105">
        <v>26</v>
      </c>
      <c r="D66" s="107">
        <v>45661</v>
      </c>
      <c r="E66" s="38">
        <v>1</v>
      </c>
      <c r="F66" s="109" t="s">
        <v>178</v>
      </c>
      <c r="G66" s="38">
        <v>28</v>
      </c>
      <c r="H66" s="37"/>
    </row>
    <row r="67" spans="3:8" ht="15.75" thickBot="1" x14ac:dyDescent="0.3">
      <c r="C67" s="106"/>
      <c r="D67" s="108"/>
      <c r="E67" s="40">
        <v>12</v>
      </c>
      <c r="F67" s="110"/>
      <c r="G67" s="40"/>
      <c r="H67" s="39">
        <v>28</v>
      </c>
    </row>
    <row r="68" spans="3:8" x14ac:dyDescent="0.25">
      <c r="C68" s="105">
        <v>27</v>
      </c>
      <c r="D68" s="107">
        <v>45661</v>
      </c>
      <c r="E68" s="38">
        <v>4</v>
      </c>
      <c r="F68" s="109" t="s">
        <v>144</v>
      </c>
      <c r="G68" s="38">
        <v>100</v>
      </c>
      <c r="H68" s="37"/>
    </row>
    <row r="69" spans="3:8" ht="15.75" thickBot="1" x14ac:dyDescent="0.3">
      <c r="C69" s="106"/>
      <c r="D69" s="108"/>
      <c r="E69" s="40">
        <v>1</v>
      </c>
      <c r="F69" s="110"/>
      <c r="G69" s="40"/>
      <c r="H69" s="39">
        <v>100</v>
      </c>
    </row>
    <row r="70" spans="3:8" x14ac:dyDescent="0.25">
      <c r="C70" s="105">
        <v>28</v>
      </c>
      <c r="D70" s="107">
        <v>45661</v>
      </c>
      <c r="E70" s="38">
        <v>4</v>
      </c>
      <c r="F70" s="109" t="s">
        <v>179</v>
      </c>
      <c r="G70" s="38">
        <v>110</v>
      </c>
      <c r="H70" s="37"/>
    </row>
    <row r="71" spans="3:8" ht="15.75" thickBot="1" x14ac:dyDescent="0.3">
      <c r="C71" s="106"/>
      <c r="D71" s="108"/>
      <c r="E71" s="40">
        <v>1</v>
      </c>
      <c r="F71" s="110"/>
      <c r="G71" s="40"/>
      <c r="H71" s="39">
        <v>110</v>
      </c>
    </row>
    <row r="72" spans="3:8" x14ac:dyDescent="0.25">
      <c r="C72" s="105">
        <v>29</v>
      </c>
      <c r="D72" s="107">
        <v>45661</v>
      </c>
      <c r="E72" s="38">
        <v>4</v>
      </c>
      <c r="F72" s="109" t="s">
        <v>180</v>
      </c>
      <c r="G72" s="38">
        <v>100</v>
      </c>
      <c r="H72" s="37"/>
    </row>
    <row r="73" spans="3:8" ht="15.75" thickBot="1" x14ac:dyDescent="0.3">
      <c r="C73" s="106"/>
      <c r="D73" s="108"/>
      <c r="E73" s="40">
        <v>1</v>
      </c>
      <c r="F73" s="110"/>
      <c r="G73" s="40"/>
      <c r="H73" s="39">
        <v>100</v>
      </c>
    </row>
    <row r="74" spans="3:8" x14ac:dyDescent="0.25">
      <c r="C74" s="105">
        <v>30</v>
      </c>
      <c r="D74" s="107">
        <v>45661</v>
      </c>
      <c r="E74" s="38">
        <v>4</v>
      </c>
      <c r="F74" s="109" t="s">
        <v>179</v>
      </c>
      <c r="G74" s="38">
        <v>100</v>
      </c>
      <c r="H74" s="37"/>
    </row>
    <row r="75" spans="3:8" ht="15.75" thickBot="1" x14ac:dyDescent="0.3">
      <c r="C75" s="106"/>
      <c r="D75" s="108"/>
      <c r="E75" s="40">
        <v>1</v>
      </c>
      <c r="F75" s="110"/>
      <c r="G75" s="40"/>
      <c r="H75" s="39">
        <v>100</v>
      </c>
    </row>
    <row r="76" spans="3:8" x14ac:dyDescent="0.25">
      <c r="C76" s="105">
        <v>31</v>
      </c>
      <c r="D76" s="107">
        <v>45661</v>
      </c>
      <c r="E76" s="38">
        <v>1</v>
      </c>
      <c r="F76" s="109" t="s">
        <v>181</v>
      </c>
      <c r="G76" s="38">
        <v>4</v>
      </c>
      <c r="H76" s="37"/>
    </row>
    <row r="77" spans="3:8" ht="15.75" thickBot="1" x14ac:dyDescent="0.3">
      <c r="C77" s="106"/>
      <c r="D77" s="108"/>
      <c r="E77" s="40">
        <v>5</v>
      </c>
      <c r="F77" s="110"/>
      <c r="G77" s="40"/>
      <c r="H77" s="39">
        <v>4</v>
      </c>
    </row>
    <row r="78" spans="3:8" x14ac:dyDescent="0.25">
      <c r="C78" s="105">
        <v>32</v>
      </c>
      <c r="D78" s="107">
        <v>45662</v>
      </c>
      <c r="E78" s="38">
        <v>4</v>
      </c>
      <c r="F78" s="109" t="s">
        <v>182</v>
      </c>
      <c r="G78" s="38">
        <v>200</v>
      </c>
      <c r="H78" s="37"/>
    </row>
    <row r="79" spans="3:8" x14ac:dyDescent="0.25">
      <c r="C79" s="120"/>
      <c r="D79" s="121"/>
      <c r="E79" s="54">
        <v>1</v>
      </c>
      <c r="F79" s="122"/>
      <c r="G79" s="54">
        <v>6</v>
      </c>
      <c r="H79" s="53"/>
    </row>
    <row r="80" spans="3:8" x14ac:dyDescent="0.25">
      <c r="C80" s="120"/>
      <c r="D80" s="121"/>
      <c r="E80" s="54">
        <v>5</v>
      </c>
      <c r="F80" s="122"/>
      <c r="G80" s="54">
        <v>5</v>
      </c>
      <c r="H80" s="53"/>
    </row>
    <row r="81" spans="3:8" x14ac:dyDescent="0.25">
      <c r="C81" s="120"/>
      <c r="D81" s="121"/>
      <c r="E81" s="54">
        <v>1</v>
      </c>
      <c r="F81" s="122"/>
      <c r="G81" s="54"/>
      <c r="H81" s="53">
        <v>200</v>
      </c>
    </row>
    <row r="82" spans="3:8" x14ac:dyDescent="0.25">
      <c r="C82" s="120"/>
      <c r="D82" s="121"/>
      <c r="E82" s="54">
        <v>5</v>
      </c>
      <c r="F82" s="122"/>
      <c r="G82" s="54"/>
      <c r="H82" s="53">
        <v>6</v>
      </c>
    </row>
    <row r="83" spans="3:8" ht="15.75" thickBot="1" x14ac:dyDescent="0.3">
      <c r="C83" s="106"/>
      <c r="D83" s="108"/>
      <c r="E83" s="40">
        <v>1</v>
      </c>
      <c r="F83" s="110"/>
      <c r="G83" s="40"/>
      <c r="H83" s="39">
        <v>5</v>
      </c>
    </row>
    <row r="84" spans="3:8" x14ac:dyDescent="0.25">
      <c r="C84" s="105">
        <v>33</v>
      </c>
      <c r="D84" s="107">
        <v>45662</v>
      </c>
      <c r="E84" s="38">
        <v>4</v>
      </c>
      <c r="F84" s="109" t="s">
        <v>136</v>
      </c>
      <c r="G84" s="38">
        <v>100</v>
      </c>
      <c r="H84" s="37"/>
    </row>
    <row r="85" spans="3:8" ht="15.75" thickBot="1" x14ac:dyDescent="0.3">
      <c r="C85" s="106"/>
      <c r="D85" s="108"/>
      <c r="E85" s="40">
        <v>1</v>
      </c>
      <c r="F85" s="110"/>
      <c r="G85" s="40"/>
      <c r="H85" s="39">
        <v>100</v>
      </c>
    </row>
    <row r="86" spans="3:8" x14ac:dyDescent="0.25">
      <c r="C86" s="105">
        <v>34</v>
      </c>
      <c r="D86" s="107">
        <v>45662</v>
      </c>
      <c r="E86" s="38">
        <v>1</v>
      </c>
      <c r="F86" s="109" t="s">
        <v>134</v>
      </c>
      <c r="G86" s="38">
        <v>42.3</v>
      </c>
      <c r="H86" s="37"/>
    </row>
    <row r="87" spans="3:8" ht="15.75" thickBot="1" x14ac:dyDescent="0.3">
      <c r="C87" s="106"/>
      <c r="D87" s="108"/>
      <c r="E87" s="40">
        <v>7</v>
      </c>
      <c r="F87" s="110"/>
      <c r="G87" s="40"/>
      <c r="H87" s="39">
        <v>42.3</v>
      </c>
    </row>
    <row r="88" spans="3:8" x14ac:dyDescent="0.25">
      <c r="C88" s="105">
        <v>35</v>
      </c>
      <c r="D88" s="107">
        <v>45662</v>
      </c>
      <c r="E88" s="38">
        <v>1</v>
      </c>
      <c r="F88" s="109" t="s">
        <v>183</v>
      </c>
      <c r="G88" s="38">
        <v>20</v>
      </c>
      <c r="H88" s="37"/>
    </row>
    <row r="89" spans="3:8" ht="15.75" thickBot="1" x14ac:dyDescent="0.3">
      <c r="C89" s="106"/>
      <c r="D89" s="108"/>
      <c r="E89" s="40">
        <v>5</v>
      </c>
      <c r="F89" s="110"/>
      <c r="G89" s="40"/>
      <c r="H89" s="39">
        <v>20</v>
      </c>
    </row>
    <row r="90" spans="3:8" x14ac:dyDescent="0.25">
      <c r="C90" s="105">
        <v>36</v>
      </c>
      <c r="D90" s="107">
        <v>45663</v>
      </c>
      <c r="E90" s="38">
        <v>4</v>
      </c>
      <c r="F90" s="109" t="s">
        <v>144</v>
      </c>
      <c r="G90" s="38">
        <v>100</v>
      </c>
      <c r="H90" s="37"/>
    </row>
    <row r="91" spans="3:8" ht="15.75" thickBot="1" x14ac:dyDescent="0.3">
      <c r="C91" s="106"/>
      <c r="D91" s="108"/>
      <c r="E91" s="40">
        <v>1</v>
      </c>
      <c r="F91" s="110"/>
      <c r="G91" s="40"/>
      <c r="H91" s="39">
        <v>100</v>
      </c>
    </row>
    <row r="92" spans="3:8" x14ac:dyDescent="0.25">
      <c r="C92" s="105">
        <v>37</v>
      </c>
      <c r="D92" s="107">
        <v>45663</v>
      </c>
      <c r="E92" s="38">
        <v>4</v>
      </c>
      <c r="F92" s="109" t="s">
        <v>184</v>
      </c>
      <c r="G92" s="38">
        <v>100</v>
      </c>
      <c r="H92" s="37"/>
    </row>
    <row r="93" spans="3:8" x14ac:dyDescent="0.25">
      <c r="C93" s="120"/>
      <c r="D93" s="121"/>
      <c r="E93" s="54">
        <v>1</v>
      </c>
      <c r="F93" s="122"/>
      <c r="G93" s="54">
        <v>2.5</v>
      </c>
      <c r="H93" s="53"/>
    </row>
    <row r="94" spans="3:8" x14ac:dyDescent="0.25">
      <c r="C94" s="120"/>
      <c r="D94" s="121"/>
      <c r="E94" s="54">
        <v>1</v>
      </c>
      <c r="F94" s="122"/>
      <c r="G94" s="54"/>
      <c r="H94" s="53">
        <v>100</v>
      </c>
    </row>
    <row r="95" spans="3:8" ht="15.75" thickBot="1" x14ac:dyDescent="0.3">
      <c r="C95" s="106"/>
      <c r="D95" s="108"/>
      <c r="E95" s="40">
        <v>5</v>
      </c>
      <c r="F95" s="110"/>
      <c r="G95" s="40"/>
      <c r="H95" s="39">
        <v>2.5</v>
      </c>
    </row>
    <row r="96" spans="3:8" x14ac:dyDescent="0.25">
      <c r="C96" s="105">
        <v>38</v>
      </c>
      <c r="D96" s="107">
        <v>45663</v>
      </c>
      <c r="E96" s="38">
        <v>4</v>
      </c>
      <c r="F96" s="109" t="s">
        <v>185</v>
      </c>
      <c r="G96" s="38">
        <v>100</v>
      </c>
      <c r="H96" s="37"/>
    </row>
    <row r="97" spans="3:8" ht="15.75" thickBot="1" x14ac:dyDescent="0.3">
      <c r="C97" s="106"/>
      <c r="D97" s="108"/>
      <c r="E97" s="40">
        <v>1</v>
      </c>
      <c r="F97" s="110"/>
      <c r="G97" s="40"/>
      <c r="H97" s="39">
        <v>100</v>
      </c>
    </row>
    <row r="98" spans="3:8" x14ac:dyDescent="0.25">
      <c r="C98" s="105">
        <v>39</v>
      </c>
      <c r="D98" s="107">
        <v>45663</v>
      </c>
      <c r="E98" s="38">
        <v>1</v>
      </c>
      <c r="F98" s="109" t="s">
        <v>134</v>
      </c>
      <c r="G98" s="38">
        <v>26</v>
      </c>
      <c r="H98" s="37"/>
    </row>
    <row r="99" spans="3:8" ht="15.75" thickBot="1" x14ac:dyDescent="0.3">
      <c r="C99" s="106"/>
      <c r="D99" s="108"/>
      <c r="E99" s="40">
        <v>7</v>
      </c>
      <c r="F99" s="110"/>
      <c r="G99" s="40"/>
      <c r="H99" s="39">
        <v>26</v>
      </c>
    </row>
    <row r="100" spans="3:8" x14ac:dyDescent="0.25">
      <c r="C100" s="105">
        <v>40</v>
      </c>
      <c r="D100" s="107">
        <v>45663</v>
      </c>
      <c r="E100" s="38">
        <v>1</v>
      </c>
      <c r="F100" s="109" t="s">
        <v>188</v>
      </c>
      <c r="G100" s="38">
        <v>100</v>
      </c>
      <c r="H100" s="37"/>
    </row>
    <row r="101" spans="3:8" ht="15.75" thickBot="1" x14ac:dyDescent="0.3">
      <c r="C101" s="106"/>
      <c r="D101" s="108"/>
      <c r="E101" s="40">
        <v>11</v>
      </c>
      <c r="F101" s="110"/>
      <c r="G101" s="40"/>
      <c r="H101" s="39">
        <v>100</v>
      </c>
    </row>
    <row r="102" spans="3:8" x14ac:dyDescent="0.25">
      <c r="C102" s="105">
        <v>41</v>
      </c>
      <c r="D102" s="107">
        <v>45664</v>
      </c>
      <c r="E102" s="38">
        <v>4</v>
      </c>
      <c r="F102" s="109" t="s">
        <v>141</v>
      </c>
      <c r="G102" s="38">
        <v>200</v>
      </c>
      <c r="H102" s="37"/>
    </row>
    <row r="103" spans="3:8" ht="15.75" thickBot="1" x14ac:dyDescent="0.3">
      <c r="C103" s="106"/>
      <c r="D103" s="108"/>
      <c r="E103" s="40">
        <v>1</v>
      </c>
      <c r="F103" s="110"/>
      <c r="G103" s="40"/>
      <c r="H103" s="39">
        <v>200</v>
      </c>
    </row>
    <row r="104" spans="3:8" x14ac:dyDescent="0.25">
      <c r="C104" s="105">
        <v>42</v>
      </c>
      <c r="D104" s="107">
        <v>45664</v>
      </c>
      <c r="E104" s="38">
        <v>4</v>
      </c>
      <c r="F104" s="109" t="s">
        <v>189</v>
      </c>
      <c r="G104" s="38">
        <v>100</v>
      </c>
      <c r="H104" s="37"/>
    </row>
    <row r="105" spans="3:8" x14ac:dyDescent="0.25">
      <c r="C105" s="120"/>
      <c r="D105" s="121"/>
      <c r="E105" s="54">
        <v>1</v>
      </c>
      <c r="F105" s="122"/>
      <c r="G105" s="54">
        <v>4</v>
      </c>
      <c r="H105" s="53"/>
    </row>
    <row r="106" spans="3:8" x14ac:dyDescent="0.25">
      <c r="C106" s="120"/>
      <c r="D106" s="121"/>
      <c r="E106" s="54">
        <v>1</v>
      </c>
      <c r="F106" s="122"/>
      <c r="G106" s="54"/>
      <c r="H106" s="53">
        <v>100</v>
      </c>
    </row>
    <row r="107" spans="3:8" ht="15.75" thickBot="1" x14ac:dyDescent="0.3">
      <c r="C107" s="106"/>
      <c r="D107" s="108"/>
      <c r="E107" s="40">
        <v>5</v>
      </c>
      <c r="F107" s="110"/>
      <c r="G107" s="40"/>
      <c r="H107" s="39">
        <v>4</v>
      </c>
    </row>
    <row r="108" spans="3:8" x14ac:dyDescent="0.25">
      <c r="C108" s="105">
        <v>43</v>
      </c>
      <c r="D108" s="107">
        <v>45664</v>
      </c>
      <c r="E108" s="38">
        <v>4</v>
      </c>
      <c r="F108" s="109" t="s">
        <v>190</v>
      </c>
      <c r="G108" s="38">
        <v>200</v>
      </c>
      <c r="H108" s="37"/>
    </row>
    <row r="109" spans="3:8" ht="15.75" thickBot="1" x14ac:dyDescent="0.3">
      <c r="C109" s="106"/>
      <c r="D109" s="108"/>
      <c r="E109" s="40">
        <v>1</v>
      </c>
      <c r="F109" s="110"/>
      <c r="G109" s="40"/>
      <c r="H109" s="39">
        <v>200</v>
      </c>
    </row>
    <row r="110" spans="3:8" x14ac:dyDescent="0.25">
      <c r="C110" s="105">
        <v>44</v>
      </c>
      <c r="D110" s="107">
        <v>45664</v>
      </c>
      <c r="E110" s="38">
        <v>1</v>
      </c>
      <c r="F110" s="109" t="s">
        <v>191</v>
      </c>
      <c r="G110" s="38">
        <v>2</v>
      </c>
      <c r="H110" s="37"/>
    </row>
    <row r="111" spans="3:8" ht="15.75" thickBot="1" x14ac:dyDescent="0.3">
      <c r="C111" s="106"/>
      <c r="D111" s="108"/>
      <c r="E111" s="40">
        <v>5</v>
      </c>
      <c r="F111" s="110"/>
      <c r="G111" s="40"/>
      <c r="H111" s="39">
        <v>2</v>
      </c>
    </row>
    <row r="112" spans="3:8" x14ac:dyDescent="0.25">
      <c r="C112" s="105">
        <v>45</v>
      </c>
      <c r="D112" s="107">
        <v>45664</v>
      </c>
      <c r="E112" s="38">
        <v>1</v>
      </c>
      <c r="F112" s="109" t="s">
        <v>192</v>
      </c>
      <c r="G112" s="38">
        <v>25</v>
      </c>
      <c r="H112" s="37"/>
    </row>
    <row r="113" spans="3:8" ht="15.75" thickBot="1" x14ac:dyDescent="0.3">
      <c r="C113" s="106"/>
      <c r="D113" s="108"/>
      <c r="E113" s="40">
        <v>12</v>
      </c>
      <c r="F113" s="110"/>
      <c r="G113" s="40"/>
      <c r="H113" s="39">
        <v>25</v>
      </c>
    </row>
    <row r="114" spans="3:8" x14ac:dyDescent="0.25">
      <c r="C114" s="105">
        <v>46</v>
      </c>
      <c r="D114" s="107">
        <v>45664</v>
      </c>
      <c r="E114" s="38">
        <v>1</v>
      </c>
      <c r="F114" s="109" t="s">
        <v>193</v>
      </c>
      <c r="G114" s="38">
        <v>15</v>
      </c>
      <c r="H114" s="37"/>
    </row>
    <row r="115" spans="3:8" ht="15.75" thickBot="1" x14ac:dyDescent="0.3">
      <c r="C115" s="106"/>
      <c r="D115" s="108"/>
      <c r="E115" s="40">
        <v>5</v>
      </c>
      <c r="F115" s="110"/>
      <c r="G115" s="40"/>
      <c r="H115" s="39">
        <v>15</v>
      </c>
    </row>
    <row r="116" spans="3:8" x14ac:dyDescent="0.25">
      <c r="C116" s="105">
        <v>47</v>
      </c>
      <c r="D116" s="107">
        <v>45664</v>
      </c>
      <c r="E116" s="38">
        <v>1</v>
      </c>
      <c r="F116" s="109" t="s">
        <v>188</v>
      </c>
      <c r="G116" s="38">
        <v>94</v>
      </c>
      <c r="H116" s="37"/>
    </row>
    <row r="117" spans="3:8" ht="15.75" thickBot="1" x14ac:dyDescent="0.3">
      <c r="C117" s="106"/>
      <c r="D117" s="108"/>
      <c r="E117" s="40">
        <v>11</v>
      </c>
      <c r="F117" s="110"/>
      <c r="G117" s="40"/>
      <c r="H117" s="39">
        <v>94</v>
      </c>
    </row>
    <row r="118" spans="3:8" x14ac:dyDescent="0.25">
      <c r="C118" s="105">
        <v>48</v>
      </c>
      <c r="D118" s="107">
        <v>45664</v>
      </c>
      <c r="E118" s="38">
        <v>4</v>
      </c>
      <c r="F118" s="109" t="s">
        <v>144</v>
      </c>
      <c r="G118" s="38">
        <v>100</v>
      </c>
      <c r="H118" s="37"/>
    </row>
    <row r="119" spans="3:8" ht="15.75" thickBot="1" x14ac:dyDescent="0.3">
      <c r="C119" s="106"/>
      <c r="D119" s="108"/>
      <c r="E119" s="40">
        <v>1</v>
      </c>
      <c r="F119" s="110"/>
      <c r="G119" s="40"/>
      <c r="H119" s="39">
        <v>100</v>
      </c>
    </row>
    <row r="120" spans="3:8" x14ac:dyDescent="0.25">
      <c r="C120" s="105">
        <v>49</v>
      </c>
      <c r="D120" s="107">
        <v>45664</v>
      </c>
      <c r="E120" s="38">
        <v>4</v>
      </c>
      <c r="F120" s="109" t="s">
        <v>144</v>
      </c>
      <c r="G120" s="38">
        <v>100</v>
      </c>
      <c r="H120" s="37"/>
    </row>
    <row r="121" spans="3:8" ht="15.75" thickBot="1" x14ac:dyDescent="0.3">
      <c r="C121" s="106"/>
      <c r="D121" s="108"/>
      <c r="E121" s="40">
        <v>1</v>
      </c>
      <c r="F121" s="110"/>
      <c r="G121" s="40"/>
      <c r="H121" s="39">
        <v>100</v>
      </c>
    </row>
    <row r="122" spans="3:8" x14ac:dyDescent="0.25">
      <c r="C122" s="105">
        <v>50</v>
      </c>
      <c r="D122" s="107">
        <v>45664</v>
      </c>
      <c r="E122" s="38">
        <v>5</v>
      </c>
      <c r="F122" s="109" t="s">
        <v>194</v>
      </c>
      <c r="G122" s="38">
        <v>6</v>
      </c>
      <c r="H122" s="37"/>
    </row>
    <row r="123" spans="3:8" ht="15.75" thickBot="1" x14ac:dyDescent="0.3">
      <c r="C123" s="106"/>
      <c r="D123" s="108"/>
      <c r="E123" s="40">
        <v>1</v>
      </c>
      <c r="F123" s="110"/>
      <c r="G123" s="40"/>
      <c r="H123" s="39">
        <v>6</v>
      </c>
    </row>
    <row r="124" spans="3:8" x14ac:dyDescent="0.25">
      <c r="C124" s="105">
        <v>51</v>
      </c>
      <c r="D124" s="107">
        <v>45664</v>
      </c>
      <c r="E124" s="38">
        <v>1</v>
      </c>
      <c r="F124" s="109" t="s">
        <v>134</v>
      </c>
      <c r="G124" s="38">
        <v>63</v>
      </c>
      <c r="H124" s="37"/>
    </row>
    <row r="125" spans="3:8" ht="15.75" thickBot="1" x14ac:dyDescent="0.3">
      <c r="C125" s="106"/>
      <c r="D125" s="108"/>
      <c r="E125" s="40">
        <v>7</v>
      </c>
      <c r="F125" s="110"/>
      <c r="G125" s="40"/>
      <c r="H125" s="39">
        <v>63</v>
      </c>
    </row>
    <row r="126" spans="3:8" x14ac:dyDescent="0.25">
      <c r="C126" s="105">
        <v>52</v>
      </c>
      <c r="D126" s="107">
        <v>45665</v>
      </c>
      <c r="E126" s="38">
        <v>4</v>
      </c>
      <c r="F126" s="109" t="s">
        <v>195</v>
      </c>
      <c r="G126" s="38">
        <v>110</v>
      </c>
      <c r="H126" s="37"/>
    </row>
    <row r="127" spans="3:8" x14ac:dyDescent="0.25">
      <c r="C127" s="120"/>
      <c r="D127" s="121"/>
      <c r="E127" s="54">
        <v>1</v>
      </c>
      <c r="F127" s="122"/>
      <c r="G127" s="54">
        <v>2</v>
      </c>
      <c r="H127" s="53"/>
    </row>
    <row r="128" spans="3:8" x14ac:dyDescent="0.25">
      <c r="C128" s="120"/>
      <c r="D128" s="121"/>
      <c r="E128" s="54">
        <v>1</v>
      </c>
      <c r="F128" s="122"/>
      <c r="G128" s="54"/>
      <c r="H128" s="53">
        <v>110</v>
      </c>
    </row>
    <row r="129" spans="3:8" ht="15.75" thickBot="1" x14ac:dyDescent="0.3">
      <c r="C129" s="106"/>
      <c r="D129" s="108"/>
      <c r="E129" s="40">
        <v>5</v>
      </c>
      <c r="F129" s="110"/>
      <c r="G129" s="40"/>
      <c r="H129" s="39">
        <v>2</v>
      </c>
    </row>
    <row r="130" spans="3:8" x14ac:dyDescent="0.25">
      <c r="C130" s="105">
        <v>53</v>
      </c>
      <c r="D130" s="107">
        <v>45665</v>
      </c>
      <c r="E130" s="38">
        <v>1</v>
      </c>
      <c r="F130" s="109" t="s">
        <v>7</v>
      </c>
      <c r="G130" s="38">
        <v>90</v>
      </c>
      <c r="H130" s="37"/>
    </row>
    <row r="131" spans="3:8" ht="15.75" thickBot="1" x14ac:dyDescent="0.3">
      <c r="C131" s="106"/>
      <c r="D131" s="108"/>
      <c r="E131" s="40">
        <v>2</v>
      </c>
      <c r="F131" s="110"/>
      <c r="G131" s="40"/>
      <c r="H131" s="39">
        <v>90</v>
      </c>
    </row>
    <row r="132" spans="3:8" x14ac:dyDescent="0.25">
      <c r="C132" s="105">
        <v>54</v>
      </c>
      <c r="D132" s="107">
        <v>45665</v>
      </c>
      <c r="E132" s="38">
        <v>3</v>
      </c>
      <c r="F132" s="109" t="s">
        <v>197</v>
      </c>
      <c r="G132" s="38">
        <v>1118</v>
      </c>
      <c r="H132" s="37"/>
    </row>
    <row r="133" spans="3:8" x14ac:dyDescent="0.25">
      <c r="C133" s="120"/>
      <c r="D133" s="121"/>
      <c r="E133" s="54">
        <v>1</v>
      </c>
      <c r="F133" s="122"/>
      <c r="G133" s="54">
        <v>2</v>
      </c>
      <c r="H133" s="53"/>
    </row>
    <row r="134" spans="3:8" x14ac:dyDescent="0.25">
      <c r="C134" s="120"/>
      <c r="D134" s="121"/>
      <c r="E134" s="54">
        <v>1</v>
      </c>
      <c r="F134" s="122"/>
      <c r="G134" s="54"/>
      <c r="H134" s="53">
        <v>1118</v>
      </c>
    </row>
    <row r="135" spans="3:8" ht="15.75" thickBot="1" x14ac:dyDescent="0.3">
      <c r="C135" s="106"/>
      <c r="D135" s="108"/>
      <c r="E135" s="40">
        <v>5</v>
      </c>
      <c r="F135" s="110"/>
      <c r="G135" s="40"/>
      <c r="H135" s="39">
        <v>2</v>
      </c>
    </row>
    <row r="136" spans="3:8" x14ac:dyDescent="0.25">
      <c r="C136" s="105">
        <v>55</v>
      </c>
      <c r="D136" s="107">
        <v>45665</v>
      </c>
      <c r="E136" s="38">
        <v>4</v>
      </c>
      <c r="F136" s="109" t="s">
        <v>198</v>
      </c>
      <c r="G136" s="38">
        <v>100</v>
      </c>
      <c r="H136" s="37"/>
    </row>
    <row r="137" spans="3:8" ht="15.75" thickBot="1" x14ac:dyDescent="0.3">
      <c r="C137" s="106"/>
      <c r="D137" s="108"/>
      <c r="E137" s="40">
        <v>1</v>
      </c>
      <c r="F137" s="110"/>
      <c r="G137" s="40"/>
      <c r="H137" s="39">
        <v>100</v>
      </c>
    </row>
    <row r="138" spans="3:8" x14ac:dyDescent="0.25">
      <c r="C138" s="105">
        <v>56</v>
      </c>
      <c r="D138" s="107">
        <v>45665</v>
      </c>
      <c r="E138" s="38">
        <v>4</v>
      </c>
      <c r="F138" s="109" t="s">
        <v>199</v>
      </c>
      <c r="G138" s="38">
        <v>200</v>
      </c>
      <c r="H138" s="37"/>
    </row>
    <row r="139" spans="3:8" ht="15.75" thickBot="1" x14ac:dyDescent="0.3">
      <c r="C139" s="106"/>
      <c r="D139" s="108"/>
      <c r="E139" s="40">
        <v>1</v>
      </c>
      <c r="F139" s="110"/>
      <c r="G139" s="40"/>
      <c r="H139" s="39">
        <v>200</v>
      </c>
    </row>
    <row r="140" spans="3:8" x14ac:dyDescent="0.25">
      <c r="C140" s="105">
        <v>57</v>
      </c>
      <c r="D140" s="107">
        <v>45665</v>
      </c>
      <c r="E140" s="38">
        <v>1</v>
      </c>
      <c r="F140" s="109" t="s">
        <v>134</v>
      </c>
      <c r="G140" s="38">
        <v>45.5</v>
      </c>
      <c r="H140" s="37"/>
    </row>
    <row r="141" spans="3:8" ht="15.75" thickBot="1" x14ac:dyDescent="0.3">
      <c r="C141" s="106"/>
      <c r="D141" s="108"/>
      <c r="E141" s="40">
        <v>7</v>
      </c>
      <c r="F141" s="110"/>
      <c r="G141" s="40"/>
      <c r="H141" s="39">
        <v>45.5</v>
      </c>
    </row>
    <row r="142" spans="3:8" x14ac:dyDescent="0.25">
      <c r="C142" s="105">
        <v>58</v>
      </c>
      <c r="D142" s="107">
        <v>45661</v>
      </c>
      <c r="E142" s="38">
        <v>4</v>
      </c>
      <c r="F142" s="109" t="s">
        <v>200</v>
      </c>
      <c r="G142" s="38">
        <v>80</v>
      </c>
      <c r="H142" s="37"/>
    </row>
    <row r="143" spans="3:8" ht="15.75" thickBot="1" x14ac:dyDescent="0.3">
      <c r="C143" s="106"/>
      <c r="D143" s="108"/>
      <c r="E143" s="40">
        <v>1</v>
      </c>
      <c r="F143" s="110"/>
      <c r="G143" s="40"/>
      <c r="H143" s="39">
        <v>80</v>
      </c>
    </row>
    <row r="144" spans="3:8" x14ac:dyDescent="0.25">
      <c r="C144" s="105">
        <v>59</v>
      </c>
      <c r="D144" s="107">
        <v>45661</v>
      </c>
      <c r="E144" s="38">
        <v>4</v>
      </c>
      <c r="F144" s="109" t="s">
        <v>133</v>
      </c>
      <c r="G144" s="38">
        <v>80</v>
      </c>
      <c r="H144" s="37"/>
    </row>
    <row r="145" spans="3:8" ht="15.75" thickBot="1" x14ac:dyDescent="0.3">
      <c r="C145" s="106"/>
      <c r="D145" s="108"/>
      <c r="E145" s="40">
        <v>1</v>
      </c>
      <c r="F145" s="110"/>
      <c r="G145" s="40"/>
      <c r="H145" s="39">
        <v>80</v>
      </c>
    </row>
    <row r="146" spans="3:8" x14ac:dyDescent="0.25">
      <c r="C146" s="105">
        <v>60</v>
      </c>
      <c r="D146" s="107">
        <v>45664</v>
      </c>
      <c r="E146" s="38">
        <v>4</v>
      </c>
      <c r="F146" s="109" t="s">
        <v>133</v>
      </c>
      <c r="G146" s="38">
        <v>80</v>
      </c>
      <c r="H146" s="37"/>
    </row>
    <row r="147" spans="3:8" ht="15.75" thickBot="1" x14ac:dyDescent="0.3">
      <c r="C147" s="106"/>
      <c r="D147" s="108"/>
      <c r="E147" s="40">
        <v>1</v>
      </c>
      <c r="F147" s="110"/>
      <c r="G147" s="40"/>
      <c r="H147" s="39">
        <v>80</v>
      </c>
    </row>
    <row r="148" spans="3:8" x14ac:dyDescent="0.25">
      <c r="C148" s="105">
        <v>61</v>
      </c>
      <c r="D148" s="107">
        <v>45666</v>
      </c>
      <c r="E148" s="38">
        <v>4</v>
      </c>
      <c r="F148" s="109" t="s">
        <v>179</v>
      </c>
      <c r="G148" s="38">
        <v>110</v>
      </c>
      <c r="H148" s="37"/>
    </row>
    <row r="149" spans="3:8" ht="15.75" thickBot="1" x14ac:dyDescent="0.3">
      <c r="C149" s="106"/>
      <c r="D149" s="108"/>
      <c r="E149" s="40">
        <v>1</v>
      </c>
      <c r="F149" s="110"/>
      <c r="G149" s="40"/>
      <c r="H149" s="39">
        <v>110</v>
      </c>
    </row>
    <row r="150" spans="3:8" x14ac:dyDescent="0.25">
      <c r="C150" s="105">
        <v>62</v>
      </c>
      <c r="D150" s="107">
        <v>45666</v>
      </c>
      <c r="E150" s="38">
        <v>4</v>
      </c>
      <c r="F150" s="109" t="s">
        <v>208</v>
      </c>
      <c r="G150" s="38">
        <v>202</v>
      </c>
      <c r="H150" s="37"/>
    </row>
    <row r="151" spans="3:8" ht="15.75" thickBot="1" x14ac:dyDescent="0.3">
      <c r="C151" s="106"/>
      <c r="D151" s="108"/>
      <c r="E151" s="40">
        <v>1</v>
      </c>
      <c r="F151" s="110"/>
      <c r="G151" s="40"/>
      <c r="H151" s="39">
        <v>202</v>
      </c>
    </row>
    <row r="152" spans="3:8" x14ac:dyDescent="0.25">
      <c r="C152" s="105">
        <v>63</v>
      </c>
      <c r="D152" s="107">
        <v>45666</v>
      </c>
      <c r="E152" s="38">
        <v>4</v>
      </c>
      <c r="F152" s="109" t="s">
        <v>190</v>
      </c>
      <c r="G152" s="38">
        <v>200</v>
      </c>
      <c r="H152" s="37"/>
    </row>
    <row r="153" spans="3:8" ht="15.75" thickBot="1" x14ac:dyDescent="0.3">
      <c r="C153" s="106"/>
      <c r="D153" s="108"/>
      <c r="E153" s="40">
        <v>1</v>
      </c>
      <c r="F153" s="110"/>
      <c r="G153" s="40"/>
      <c r="H153" s="39">
        <v>200</v>
      </c>
    </row>
    <row r="154" spans="3:8" x14ac:dyDescent="0.25">
      <c r="C154" s="105">
        <v>64</v>
      </c>
      <c r="D154" s="107">
        <v>45666</v>
      </c>
      <c r="E154" s="38">
        <v>1</v>
      </c>
      <c r="F154" s="109" t="s">
        <v>209</v>
      </c>
      <c r="G154" s="38">
        <v>15</v>
      </c>
      <c r="H154" s="37"/>
    </row>
    <row r="155" spans="3:8" ht="15.75" thickBot="1" x14ac:dyDescent="0.3">
      <c r="C155" s="106"/>
      <c r="D155" s="108"/>
      <c r="E155" s="40">
        <v>12</v>
      </c>
      <c r="F155" s="110"/>
      <c r="G155" s="40"/>
      <c r="H155" s="39">
        <v>15</v>
      </c>
    </row>
    <row r="156" spans="3:8" x14ac:dyDescent="0.25">
      <c r="C156" s="105">
        <v>65</v>
      </c>
      <c r="D156" s="107">
        <v>45666</v>
      </c>
      <c r="E156" s="38">
        <v>1</v>
      </c>
      <c r="F156" s="109" t="s">
        <v>210</v>
      </c>
      <c r="G156" s="38">
        <v>10</v>
      </c>
      <c r="H156" s="37"/>
    </row>
    <row r="157" spans="3:8" ht="15.75" thickBot="1" x14ac:dyDescent="0.3">
      <c r="C157" s="106"/>
      <c r="D157" s="108"/>
      <c r="E157" s="40">
        <v>5</v>
      </c>
      <c r="F157" s="110"/>
      <c r="G157" s="40"/>
      <c r="H157" s="39">
        <v>10</v>
      </c>
    </row>
    <row r="158" spans="3:8" x14ac:dyDescent="0.25">
      <c r="C158" s="105">
        <v>66</v>
      </c>
      <c r="D158" s="107">
        <v>45666</v>
      </c>
      <c r="E158" s="38">
        <v>1</v>
      </c>
      <c r="F158" s="109" t="s">
        <v>140</v>
      </c>
      <c r="G158" s="38">
        <v>213.1</v>
      </c>
      <c r="H158" s="37"/>
    </row>
    <row r="159" spans="3:8" ht="15.75" thickBot="1" x14ac:dyDescent="0.3">
      <c r="C159" s="106"/>
      <c r="D159" s="108"/>
      <c r="E159" s="40">
        <v>7</v>
      </c>
      <c r="F159" s="110"/>
      <c r="G159" s="40"/>
      <c r="H159" s="39">
        <v>213.1</v>
      </c>
    </row>
    <row r="160" spans="3:8" x14ac:dyDescent="0.25">
      <c r="C160" s="105">
        <v>67</v>
      </c>
      <c r="D160" s="107">
        <v>45666</v>
      </c>
      <c r="E160" s="38">
        <v>1</v>
      </c>
      <c r="F160" s="109" t="s">
        <v>211</v>
      </c>
      <c r="G160" s="38">
        <v>75</v>
      </c>
      <c r="H160" s="37"/>
    </row>
    <row r="161" spans="3:8" ht="15.75" thickBot="1" x14ac:dyDescent="0.3">
      <c r="C161" s="106"/>
      <c r="D161" s="108"/>
      <c r="E161" s="40">
        <v>8</v>
      </c>
      <c r="F161" s="110"/>
      <c r="G161" s="40"/>
      <c r="H161" s="39">
        <v>75</v>
      </c>
    </row>
    <row r="162" spans="3:8" x14ac:dyDescent="0.25">
      <c r="C162" s="105">
        <v>68</v>
      </c>
      <c r="D162" s="107">
        <v>45666</v>
      </c>
      <c r="E162" s="38">
        <v>1</v>
      </c>
      <c r="F162" s="109" t="s">
        <v>188</v>
      </c>
      <c r="G162" s="38">
        <v>30</v>
      </c>
      <c r="H162" s="37"/>
    </row>
    <row r="163" spans="3:8" ht="15.75" thickBot="1" x14ac:dyDescent="0.3">
      <c r="C163" s="106"/>
      <c r="D163" s="108"/>
      <c r="E163" s="40">
        <v>11</v>
      </c>
      <c r="F163" s="110"/>
      <c r="G163" s="40"/>
      <c r="H163" s="39">
        <v>30</v>
      </c>
    </row>
    <row r="164" spans="3:8" x14ac:dyDescent="0.25">
      <c r="C164" s="105">
        <v>69</v>
      </c>
      <c r="D164" s="107">
        <v>45667</v>
      </c>
      <c r="E164" s="38">
        <v>1</v>
      </c>
      <c r="F164" s="109" t="s">
        <v>7</v>
      </c>
      <c r="G164" s="38">
        <v>13389</v>
      </c>
      <c r="H164" s="37"/>
    </row>
    <row r="165" spans="3:8" x14ac:dyDescent="0.25">
      <c r="C165" s="120"/>
      <c r="D165" s="121"/>
      <c r="E165" s="54">
        <v>1</v>
      </c>
      <c r="F165" s="122"/>
      <c r="G165" s="54">
        <v>44</v>
      </c>
      <c r="H165" s="53"/>
    </row>
    <row r="166" spans="3:8" x14ac:dyDescent="0.25">
      <c r="C166" s="120"/>
      <c r="D166" s="121"/>
      <c r="E166" s="54">
        <v>2</v>
      </c>
      <c r="F166" s="122"/>
      <c r="G166" s="54"/>
      <c r="H166" s="53">
        <v>13389</v>
      </c>
    </row>
    <row r="167" spans="3:8" ht="15.75" thickBot="1" x14ac:dyDescent="0.3">
      <c r="C167" s="106"/>
      <c r="D167" s="108"/>
      <c r="E167" s="40">
        <v>9</v>
      </c>
      <c r="F167" s="110"/>
      <c r="G167" s="40"/>
      <c r="H167" s="39">
        <v>44</v>
      </c>
    </row>
    <row r="168" spans="3:8" x14ac:dyDescent="0.25">
      <c r="C168" s="105">
        <v>70</v>
      </c>
      <c r="D168" s="107">
        <v>45667</v>
      </c>
      <c r="E168" s="38">
        <v>4</v>
      </c>
      <c r="F168" s="109" t="s">
        <v>144</v>
      </c>
      <c r="G168" s="38">
        <v>100</v>
      </c>
      <c r="H168" s="37"/>
    </row>
    <row r="169" spans="3:8" ht="15.75" thickBot="1" x14ac:dyDescent="0.3">
      <c r="C169" s="106"/>
      <c r="D169" s="108"/>
      <c r="E169" s="40">
        <v>1</v>
      </c>
      <c r="F169" s="110"/>
      <c r="G169" s="40"/>
      <c r="H169" s="39">
        <v>100</v>
      </c>
    </row>
    <row r="170" spans="3:8" x14ac:dyDescent="0.25">
      <c r="C170" s="105">
        <v>71</v>
      </c>
      <c r="D170" s="107">
        <v>45667</v>
      </c>
      <c r="E170" s="38">
        <v>4</v>
      </c>
      <c r="F170" s="109" t="s">
        <v>136</v>
      </c>
      <c r="G170" s="38">
        <v>100</v>
      </c>
      <c r="H170" s="37"/>
    </row>
    <row r="171" spans="3:8" ht="15.75" thickBot="1" x14ac:dyDescent="0.3">
      <c r="C171" s="106"/>
      <c r="D171" s="108"/>
      <c r="E171" s="40">
        <v>1</v>
      </c>
      <c r="F171" s="110"/>
      <c r="G171" s="40"/>
      <c r="H171" s="39">
        <v>100</v>
      </c>
    </row>
    <row r="172" spans="3:8" x14ac:dyDescent="0.25">
      <c r="C172" s="105">
        <v>72</v>
      </c>
      <c r="D172" s="107">
        <v>45667</v>
      </c>
      <c r="E172" s="38">
        <v>4</v>
      </c>
      <c r="F172" s="109" t="s">
        <v>217</v>
      </c>
      <c r="G172" s="38">
        <v>180</v>
      </c>
      <c r="H172" s="37"/>
    </row>
    <row r="173" spans="3:8" ht="15.75" thickBot="1" x14ac:dyDescent="0.3">
      <c r="C173" s="106"/>
      <c r="D173" s="108"/>
      <c r="E173" s="40">
        <v>1</v>
      </c>
      <c r="F173" s="110"/>
      <c r="G173" s="40"/>
      <c r="H173" s="39">
        <v>180</v>
      </c>
    </row>
    <row r="174" spans="3:8" x14ac:dyDescent="0.25">
      <c r="C174" s="105">
        <v>73</v>
      </c>
      <c r="D174" s="107">
        <v>45667</v>
      </c>
      <c r="E174" s="38">
        <v>1</v>
      </c>
      <c r="F174" s="109" t="s">
        <v>30</v>
      </c>
      <c r="G174" s="38">
        <v>5</v>
      </c>
      <c r="H174" s="37"/>
    </row>
    <row r="175" spans="3:8" ht="15.75" thickBot="1" x14ac:dyDescent="0.3">
      <c r="C175" s="106"/>
      <c r="D175" s="108"/>
      <c r="E175" s="40">
        <v>5</v>
      </c>
      <c r="F175" s="110"/>
      <c r="G175" s="40"/>
      <c r="H175" s="39">
        <v>5</v>
      </c>
    </row>
    <row r="176" spans="3:8" x14ac:dyDescent="0.25">
      <c r="C176" s="105">
        <v>74</v>
      </c>
      <c r="D176" s="107">
        <v>45668</v>
      </c>
      <c r="E176" s="38">
        <v>4</v>
      </c>
      <c r="F176" s="109" t="s">
        <v>133</v>
      </c>
      <c r="G176" s="38">
        <v>100</v>
      </c>
      <c r="H176" s="37"/>
    </row>
    <row r="177" spans="3:8" ht="15.75" thickBot="1" x14ac:dyDescent="0.3">
      <c r="C177" s="106"/>
      <c r="D177" s="108"/>
      <c r="E177" s="40">
        <v>1</v>
      </c>
      <c r="F177" s="110"/>
      <c r="G177" s="40"/>
      <c r="H177" s="39">
        <v>100</v>
      </c>
    </row>
    <row r="178" spans="3:8" x14ac:dyDescent="0.25">
      <c r="C178" s="105">
        <v>75</v>
      </c>
      <c r="D178" s="107">
        <v>45668</v>
      </c>
      <c r="E178" s="38">
        <v>4</v>
      </c>
      <c r="F178" s="109" t="s">
        <v>144</v>
      </c>
      <c r="G178" s="38">
        <v>100</v>
      </c>
      <c r="H178" s="37"/>
    </row>
    <row r="179" spans="3:8" ht="15.75" thickBot="1" x14ac:dyDescent="0.3">
      <c r="C179" s="106"/>
      <c r="D179" s="108"/>
      <c r="E179" s="40">
        <v>1</v>
      </c>
      <c r="F179" s="110"/>
      <c r="G179" s="40"/>
      <c r="H179" s="39">
        <v>100</v>
      </c>
    </row>
    <row r="180" spans="3:8" x14ac:dyDescent="0.25">
      <c r="C180" s="105">
        <v>76</v>
      </c>
      <c r="D180" s="107">
        <v>45668</v>
      </c>
      <c r="E180" s="38">
        <v>1</v>
      </c>
      <c r="F180" s="109" t="s">
        <v>183</v>
      </c>
      <c r="G180" s="38">
        <v>50</v>
      </c>
      <c r="H180" s="37"/>
    </row>
    <row r="181" spans="3:8" ht="15.75" thickBot="1" x14ac:dyDescent="0.3">
      <c r="C181" s="106"/>
      <c r="D181" s="108"/>
      <c r="E181" s="40">
        <v>5</v>
      </c>
      <c r="F181" s="110"/>
      <c r="G181" s="40"/>
      <c r="H181" s="39">
        <v>50</v>
      </c>
    </row>
    <row r="182" spans="3:8" x14ac:dyDescent="0.25">
      <c r="C182" s="105">
        <v>77</v>
      </c>
      <c r="D182" s="107">
        <v>45668</v>
      </c>
      <c r="E182" s="38">
        <v>1</v>
      </c>
      <c r="F182" s="109" t="s">
        <v>30</v>
      </c>
      <c r="G182" s="38">
        <v>3.5</v>
      </c>
      <c r="H182" s="37"/>
    </row>
    <row r="183" spans="3:8" ht="15.75" thickBot="1" x14ac:dyDescent="0.3">
      <c r="C183" s="106"/>
      <c r="D183" s="108"/>
      <c r="E183" s="40">
        <v>5</v>
      </c>
      <c r="F183" s="110"/>
      <c r="G183" s="40"/>
      <c r="H183" s="39">
        <v>3.5</v>
      </c>
    </row>
    <row r="184" spans="3:8" x14ac:dyDescent="0.25">
      <c r="C184" s="105">
        <v>78</v>
      </c>
      <c r="D184" s="107">
        <v>45669</v>
      </c>
      <c r="E184" s="38">
        <v>4</v>
      </c>
      <c r="F184" s="109" t="s">
        <v>136</v>
      </c>
      <c r="G184" s="38">
        <v>100</v>
      </c>
      <c r="H184" s="37"/>
    </row>
    <row r="185" spans="3:8" ht="15.75" thickBot="1" x14ac:dyDescent="0.3">
      <c r="C185" s="106"/>
      <c r="D185" s="108"/>
      <c r="E185" s="40">
        <v>1</v>
      </c>
      <c r="F185" s="110"/>
      <c r="G185" s="40"/>
      <c r="H185" s="39">
        <v>100</v>
      </c>
    </row>
    <row r="186" spans="3:8" x14ac:dyDescent="0.25">
      <c r="C186" s="105">
        <v>79</v>
      </c>
      <c r="D186" s="107">
        <v>45669</v>
      </c>
      <c r="E186" s="38">
        <v>4</v>
      </c>
      <c r="F186" s="109" t="s">
        <v>221</v>
      </c>
      <c r="G186" s="38">
        <v>205</v>
      </c>
      <c r="H186" s="37"/>
    </row>
    <row r="187" spans="3:8" ht="15.75" thickBot="1" x14ac:dyDescent="0.3">
      <c r="C187" s="106"/>
      <c r="D187" s="108"/>
      <c r="E187" s="40">
        <v>1</v>
      </c>
      <c r="F187" s="110"/>
      <c r="G187" s="40"/>
      <c r="H187" s="39">
        <v>205</v>
      </c>
    </row>
    <row r="188" spans="3:8" x14ac:dyDescent="0.25">
      <c r="C188" s="105">
        <v>80</v>
      </c>
      <c r="D188" s="107">
        <v>45669</v>
      </c>
      <c r="E188" s="38">
        <v>4</v>
      </c>
      <c r="F188" s="109" t="s">
        <v>144</v>
      </c>
      <c r="G188" s="38">
        <v>100</v>
      </c>
      <c r="H188" s="37"/>
    </row>
    <row r="189" spans="3:8" ht="15.75" thickBot="1" x14ac:dyDescent="0.3">
      <c r="C189" s="106"/>
      <c r="D189" s="108"/>
      <c r="E189" s="40">
        <v>1</v>
      </c>
      <c r="F189" s="110"/>
      <c r="G189" s="40"/>
      <c r="H189" s="39">
        <v>100</v>
      </c>
    </row>
    <row r="190" spans="3:8" x14ac:dyDescent="0.25">
      <c r="C190" s="105">
        <v>81</v>
      </c>
      <c r="D190" s="107">
        <v>45669</v>
      </c>
      <c r="E190" s="38">
        <v>1</v>
      </c>
      <c r="F190" s="109" t="s">
        <v>30</v>
      </c>
      <c r="G190" s="38">
        <v>5.5</v>
      </c>
      <c r="H190" s="37"/>
    </row>
    <row r="191" spans="3:8" ht="15.75" thickBot="1" x14ac:dyDescent="0.3">
      <c r="C191" s="106"/>
      <c r="D191" s="108"/>
      <c r="E191" s="40">
        <v>5</v>
      </c>
      <c r="F191" s="110"/>
      <c r="G191" s="40"/>
      <c r="H191" s="39">
        <v>5.5</v>
      </c>
    </row>
    <row r="192" spans="3:8" x14ac:dyDescent="0.25">
      <c r="C192" s="105">
        <v>82</v>
      </c>
      <c r="D192" s="107">
        <v>45669</v>
      </c>
      <c r="E192" s="38">
        <v>1</v>
      </c>
      <c r="F192" s="109" t="s">
        <v>134</v>
      </c>
      <c r="G192" s="38">
        <v>55.4</v>
      </c>
      <c r="H192" s="37"/>
    </row>
    <row r="193" spans="3:8" ht="15.75" thickBot="1" x14ac:dyDescent="0.3">
      <c r="C193" s="106"/>
      <c r="D193" s="108"/>
      <c r="E193" s="40">
        <v>7</v>
      </c>
      <c r="F193" s="110"/>
      <c r="G193" s="40"/>
      <c r="H193" s="39">
        <v>55.4</v>
      </c>
    </row>
    <row r="194" spans="3:8" x14ac:dyDescent="0.25">
      <c r="C194" s="105">
        <v>83</v>
      </c>
      <c r="D194" s="107">
        <v>45670</v>
      </c>
      <c r="E194" s="38">
        <v>1</v>
      </c>
      <c r="F194" s="109" t="s">
        <v>7</v>
      </c>
      <c r="G194" s="38">
        <v>142</v>
      </c>
      <c r="H194" s="37"/>
    </row>
    <row r="195" spans="3:8" ht="15.75" thickBot="1" x14ac:dyDescent="0.3">
      <c r="C195" s="106"/>
      <c r="D195" s="108"/>
      <c r="E195" s="40">
        <v>2</v>
      </c>
      <c r="F195" s="110"/>
      <c r="G195" s="40"/>
      <c r="H195" s="39">
        <v>142</v>
      </c>
    </row>
    <row r="196" spans="3:8" x14ac:dyDescent="0.25">
      <c r="C196" s="105">
        <v>84</v>
      </c>
      <c r="D196" s="107">
        <v>45670</v>
      </c>
      <c r="E196" s="38">
        <v>1</v>
      </c>
      <c r="F196" s="109" t="s">
        <v>220</v>
      </c>
      <c r="G196" s="38">
        <v>99</v>
      </c>
      <c r="H196" s="37"/>
    </row>
    <row r="197" spans="3:8" ht="15.75" thickBot="1" x14ac:dyDescent="0.3">
      <c r="C197" s="106"/>
      <c r="D197" s="108"/>
      <c r="E197" s="40">
        <v>11</v>
      </c>
      <c r="F197" s="110"/>
      <c r="G197" s="40"/>
      <c r="H197" s="39">
        <v>99</v>
      </c>
    </row>
    <row r="198" spans="3:8" x14ac:dyDescent="0.25">
      <c r="C198" s="105">
        <v>85</v>
      </c>
      <c r="D198" s="107">
        <v>45670</v>
      </c>
      <c r="E198" s="38">
        <v>4</v>
      </c>
      <c r="F198" s="109" t="s">
        <v>185</v>
      </c>
      <c r="G198" s="38">
        <v>100</v>
      </c>
      <c r="H198" s="37"/>
    </row>
    <row r="199" spans="3:8" ht="15.75" thickBot="1" x14ac:dyDescent="0.3">
      <c r="C199" s="106"/>
      <c r="D199" s="108"/>
      <c r="E199" s="40">
        <v>1</v>
      </c>
      <c r="F199" s="110"/>
      <c r="G199" s="40"/>
      <c r="H199" s="39">
        <v>100</v>
      </c>
    </row>
    <row r="200" spans="3:8" x14ac:dyDescent="0.25">
      <c r="C200" s="105">
        <v>86</v>
      </c>
      <c r="D200" s="107">
        <v>45671</v>
      </c>
      <c r="E200" s="38">
        <v>4</v>
      </c>
      <c r="F200" s="109" t="s">
        <v>224</v>
      </c>
      <c r="G200" s="38">
        <v>180</v>
      </c>
      <c r="H200" s="37"/>
    </row>
    <row r="201" spans="3:8" ht="15.75" thickBot="1" x14ac:dyDescent="0.3">
      <c r="C201" s="106"/>
      <c r="D201" s="108"/>
      <c r="E201" s="40">
        <v>1</v>
      </c>
      <c r="F201" s="110"/>
      <c r="G201" s="40"/>
      <c r="H201" s="39">
        <v>180</v>
      </c>
    </row>
    <row r="202" spans="3:8" x14ac:dyDescent="0.25">
      <c r="C202" s="105">
        <v>87</v>
      </c>
      <c r="D202" s="107">
        <v>45671</v>
      </c>
      <c r="E202" s="38">
        <v>4</v>
      </c>
      <c r="F202" s="109" t="s">
        <v>222</v>
      </c>
      <c r="G202" s="38">
        <v>220</v>
      </c>
      <c r="H202" s="37"/>
    </row>
    <row r="203" spans="3:8" ht="15.75" thickBot="1" x14ac:dyDescent="0.3">
      <c r="C203" s="106"/>
      <c r="D203" s="108"/>
      <c r="E203" s="40">
        <v>1</v>
      </c>
      <c r="F203" s="110"/>
      <c r="G203" s="40"/>
      <c r="H203" s="39">
        <v>220</v>
      </c>
    </row>
    <row r="204" spans="3:8" x14ac:dyDescent="0.25">
      <c r="C204" s="105">
        <v>88</v>
      </c>
      <c r="D204" s="107">
        <v>45671</v>
      </c>
      <c r="E204" s="38">
        <v>4</v>
      </c>
      <c r="F204" s="109" t="s">
        <v>237</v>
      </c>
      <c r="G204" s="38">
        <v>110</v>
      </c>
      <c r="H204" s="37"/>
    </row>
    <row r="205" spans="3:8" ht="15.75" thickBot="1" x14ac:dyDescent="0.3">
      <c r="C205" s="106"/>
      <c r="D205" s="108"/>
      <c r="E205" s="40">
        <v>1</v>
      </c>
      <c r="F205" s="110"/>
      <c r="G205" s="40"/>
      <c r="H205" s="39">
        <v>110</v>
      </c>
    </row>
    <row r="206" spans="3:8" x14ac:dyDescent="0.25">
      <c r="C206" s="105">
        <v>89</v>
      </c>
      <c r="D206" s="107">
        <v>45671</v>
      </c>
      <c r="E206" s="38">
        <v>1</v>
      </c>
      <c r="F206" s="109" t="s">
        <v>30</v>
      </c>
      <c r="G206" s="38">
        <v>4</v>
      </c>
      <c r="H206" s="37"/>
    </row>
    <row r="207" spans="3:8" ht="15.75" thickBot="1" x14ac:dyDescent="0.3">
      <c r="C207" s="106"/>
      <c r="D207" s="108"/>
      <c r="E207" s="40">
        <v>5</v>
      </c>
      <c r="F207" s="110"/>
      <c r="G207" s="40"/>
      <c r="H207" s="39">
        <v>4</v>
      </c>
    </row>
    <row r="208" spans="3:8" x14ac:dyDescent="0.25">
      <c r="C208" s="105">
        <v>90</v>
      </c>
      <c r="D208" s="107">
        <v>45671</v>
      </c>
      <c r="E208" s="38">
        <v>1</v>
      </c>
      <c r="F208" s="109" t="s">
        <v>223</v>
      </c>
      <c r="G208" s="38">
        <v>55</v>
      </c>
      <c r="H208" s="37"/>
    </row>
    <row r="209" spans="3:8" ht="15.75" thickBot="1" x14ac:dyDescent="0.3">
      <c r="C209" s="106"/>
      <c r="D209" s="108"/>
      <c r="E209" s="40">
        <v>11</v>
      </c>
      <c r="F209" s="110"/>
      <c r="G209" s="40"/>
      <c r="H209" s="39">
        <v>55</v>
      </c>
    </row>
    <row r="210" spans="3:8" x14ac:dyDescent="0.25">
      <c r="C210" s="105">
        <v>91</v>
      </c>
      <c r="D210" s="107">
        <v>45671</v>
      </c>
      <c r="E210" s="38">
        <v>1</v>
      </c>
      <c r="F210" s="109" t="s">
        <v>135</v>
      </c>
      <c r="G210" s="38">
        <v>26</v>
      </c>
      <c r="H210" s="37"/>
    </row>
    <row r="211" spans="3:8" ht="15.75" thickBot="1" x14ac:dyDescent="0.3">
      <c r="C211" s="106"/>
      <c r="D211" s="108"/>
      <c r="E211" s="40">
        <v>12</v>
      </c>
      <c r="F211" s="110"/>
      <c r="G211" s="40"/>
      <c r="H211" s="39">
        <v>26</v>
      </c>
    </row>
    <row r="212" spans="3:8" x14ac:dyDescent="0.25">
      <c r="C212" s="105">
        <v>92</v>
      </c>
      <c r="D212" s="107">
        <v>45671</v>
      </c>
      <c r="E212" s="38">
        <v>4</v>
      </c>
      <c r="F212" s="109" t="s">
        <v>225</v>
      </c>
      <c r="G212" s="38">
        <v>180</v>
      </c>
      <c r="H212" s="37"/>
    </row>
    <row r="213" spans="3:8" ht="15.75" thickBot="1" x14ac:dyDescent="0.3">
      <c r="C213" s="106"/>
      <c r="D213" s="108"/>
      <c r="E213" s="40">
        <v>1</v>
      </c>
      <c r="F213" s="110"/>
      <c r="G213" s="40"/>
      <c r="H213" s="39">
        <v>180</v>
      </c>
    </row>
    <row r="214" spans="3:8" x14ac:dyDescent="0.25">
      <c r="C214" s="105">
        <v>93</v>
      </c>
      <c r="D214" s="107">
        <v>45671</v>
      </c>
      <c r="E214" s="38">
        <v>4</v>
      </c>
      <c r="F214" s="109" t="s">
        <v>208</v>
      </c>
      <c r="G214" s="38">
        <v>200</v>
      </c>
      <c r="H214" s="37"/>
    </row>
    <row r="215" spans="3:8" ht="15.75" thickBot="1" x14ac:dyDescent="0.3">
      <c r="C215" s="106"/>
      <c r="D215" s="108"/>
      <c r="E215" s="40">
        <v>1</v>
      </c>
      <c r="F215" s="110"/>
      <c r="G215" s="40"/>
      <c r="H215" s="39">
        <v>200</v>
      </c>
    </row>
    <row r="216" spans="3:8" x14ac:dyDescent="0.25">
      <c r="C216" s="105">
        <v>94</v>
      </c>
      <c r="D216" s="107">
        <v>45671</v>
      </c>
      <c r="E216" s="38">
        <v>1</v>
      </c>
      <c r="F216" s="109" t="s">
        <v>30</v>
      </c>
      <c r="G216" s="38">
        <v>2</v>
      </c>
      <c r="H216" s="37"/>
    </row>
    <row r="217" spans="3:8" ht="15.75" thickBot="1" x14ac:dyDescent="0.3">
      <c r="C217" s="106"/>
      <c r="D217" s="108"/>
      <c r="E217" s="40">
        <v>5</v>
      </c>
      <c r="F217" s="110"/>
      <c r="G217" s="40"/>
      <c r="H217" s="39">
        <v>2</v>
      </c>
    </row>
    <row r="218" spans="3:8" x14ac:dyDescent="0.25">
      <c r="C218" s="105">
        <v>95</v>
      </c>
      <c r="D218" s="107">
        <v>45671</v>
      </c>
      <c r="E218" s="38">
        <v>1</v>
      </c>
      <c r="F218" s="109" t="s">
        <v>135</v>
      </c>
      <c r="G218" s="38">
        <v>6</v>
      </c>
      <c r="H218" s="37"/>
    </row>
    <row r="219" spans="3:8" ht="15.75" thickBot="1" x14ac:dyDescent="0.3">
      <c r="C219" s="106"/>
      <c r="D219" s="108"/>
      <c r="E219" s="40">
        <v>12</v>
      </c>
      <c r="F219" s="110"/>
      <c r="G219" s="40"/>
      <c r="H219" s="39">
        <v>6</v>
      </c>
    </row>
    <row r="220" spans="3:8" x14ac:dyDescent="0.25">
      <c r="C220" s="105">
        <v>96</v>
      </c>
      <c r="D220" s="107">
        <v>45672</v>
      </c>
      <c r="E220" s="38">
        <v>1</v>
      </c>
      <c r="F220" s="109" t="s">
        <v>223</v>
      </c>
      <c r="G220" s="38">
        <v>66</v>
      </c>
      <c r="H220" s="37"/>
    </row>
    <row r="221" spans="3:8" ht="15.75" thickBot="1" x14ac:dyDescent="0.3">
      <c r="C221" s="106"/>
      <c r="D221" s="108"/>
      <c r="E221" s="40">
        <v>11</v>
      </c>
      <c r="F221" s="110"/>
      <c r="G221" s="40"/>
      <c r="H221" s="39">
        <v>66</v>
      </c>
    </row>
    <row r="222" spans="3:8" x14ac:dyDescent="0.25">
      <c r="C222" s="105">
        <v>97</v>
      </c>
      <c r="D222" s="107">
        <v>45672</v>
      </c>
      <c r="E222" s="38">
        <v>1</v>
      </c>
      <c r="F222" s="109" t="s">
        <v>7</v>
      </c>
      <c r="G222" s="38">
        <v>909.5</v>
      </c>
      <c r="H222" s="37"/>
    </row>
    <row r="223" spans="3:8" x14ac:dyDescent="0.25">
      <c r="C223" s="120"/>
      <c r="D223" s="121"/>
      <c r="E223" s="54">
        <v>1</v>
      </c>
      <c r="F223" s="122"/>
      <c r="G223" s="54">
        <v>2</v>
      </c>
      <c r="H223" s="53"/>
    </row>
    <row r="224" spans="3:8" x14ac:dyDescent="0.25">
      <c r="C224" s="120"/>
      <c r="D224" s="121"/>
      <c r="E224" s="54">
        <v>2</v>
      </c>
      <c r="F224" s="122"/>
      <c r="G224" s="54"/>
      <c r="H224" s="53">
        <v>909.5</v>
      </c>
    </row>
    <row r="225" spans="3:8" ht="15.75" thickBot="1" x14ac:dyDescent="0.3">
      <c r="C225" s="106"/>
      <c r="D225" s="108"/>
      <c r="E225" s="40">
        <v>5</v>
      </c>
      <c r="F225" s="110"/>
      <c r="G225" s="40"/>
      <c r="H225" s="39">
        <v>2</v>
      </c>
    </row>
    <row r="226" spans="3:8" x14ac:dyDescent="0.25">
      <c r="C226" s="105">
        <v>98</v>
      </c>
      <c r="D226" s="107">
        <v>45672</v>
      </c>
      <c r="E226" s="38">
        <v>3</v>
      </c>
      <c r="F226" s="109" t="s">
        <v>229</v>
      </c>
      <c r="G226" s="38">
        <v>474</v>
      </c>
      <c r="H226" s="37"/>
    </row>
    <row r="227" spans="3:8" x14ac:dyDescent="0.25">
      <c r="C227" s="120"/>
      <c r="D227" s="121"/>
      <c r="E227" s="54">
        <v>1</v>
      </c>
      <c r="F227" s="122"/>
      <c r="G227" s="54">
        <v>6.5</v>
      </c>
      <c r="H227" s="53"/>
    </row>
    <row r="228" spans="3:8" x14ac:dyDescent="0.25">
      <c r="C228" s="120"/>
      <c r="D228" s="121"/>
      <c r="E228" s="54">
        <v>1</v>
      </c>
      <c r="F228" s="122"/>
      <c r="G228" s="54"/>
      <c r="H228" s="53">
        <v>474</v>
      </c>
    </row>
    <row r="229" spans="3:8" ht="15.75" thickBot="1" x14ac:dyDescent="0.3">
      <c r="C229" s="106"/>
      <c r="D229" s="108"/>
      <c r="E229" s="40">
        <v>5</v>
      </c>
      <c r="F229" s="110"/>
      <c r="G229" s="40"/>
      <c r="H229" s="39">
        <v>6.5</v>
      </c>
    </row>
    <row r="230" spans="3:8" x14ac:dyDescent="0.25">
      <c r="C230" s="105">
        <v>99</v>
      </c>
      <c r="D230" s="107">
        <v>45673</v>
      </c>
      <c r="E230" s="38">
        <v>1</v>
      </c>
      <c r="F230" s="109" t="s">
        <v>7</v>
      </c>
      <c r="G230" s="38">
        <v>370</v>
      </c>
      <c r="H230" s="37"/>
    </row>
    <row r="231" spans="3:8" ht="15.75" thickBot="1" x14ac:dyDescent="0.3">
      <c r="C231" s="106"/>
      <c r="D231" s="108"/>
      <c r="E231" s="40">
        <v>2</v>
      </c>
      <c r="F231" s="110"/>
      <c r="G231" s="40"/>
      <c r="H231" s="39">
        <v>370</v>
      </c>
    </row>
    <row r="232" spans="3:8" x14ac:dyDescent="0.25">
      <c r="C232" s="105">
        <v>100</v>
      </c>
      <c r="D232" s="107">
        <v>45673</v>
      </c>
      <c r="E232" s="38">
        <v>4</v>
      </c>
      <c r="F232" s="109" t="s">
        <v>234</v>
      </c>
      <c r="G232" s="38">
        <v>255</v>
      </c>
      <c r="H232" s="37"/>
    </row>
    <row r="233" spans="3:8" x14ac:dyDescent="0.25">
      <c r="C233" s="120"/>
      <c r="D233" s="121"/>
      <c r="E233" s="54">
        <v>1</v>
      </c>
      <c r="F233" s="122"/>
      <c r="G233" s="54">
        <v>2</v>
      </c>
      <c r="H233" s="53"/>
    </row>
    <row r="234" spans="3:8" x14ac:dyDescent="0.25">
      <c r="C234" s="120"/>
      <c r="D234" s="121"/>
      <c r="E234" s="54">
        <v>1</v>
      </c>
      <c r="F234" s="122"/>
      <c r="G234" s="54"/>
      <c r="H234" s="53">
        <v>255</v>
      </c>
    </row>
    <row r="235" spans="3:8" ht="15.75" thickBot="1" x14ac:dyDescent="0.3">
      <c r="C235" s="106"/>
      <c r="D235" s="108"/>
      <c r="E235" s="40">
        <v>5</v>
      </c>
      <c r="F235" s="110"/>
      <c r="G235" s="40"/>
      <c r="H235" s="39">
        <v>2</v>
      </c>
    </row>
    <row r="236" spans="3:8" x14ac:dyDescent="0.25">
      <c r="C236" s="105">
        <v>101</v>
      </c>
      <c r="D236" s="107">
        <v>45673</v>
      </c>
      <c r="E236" s="38">
        <v>4</v>
      </c>
      <c r="F236" s="109" t="s">
        <v>236</v>
      </c>
      <c r="G236" s="38">
        <v>75</v>
      </c>
      <c r="H236" s="37"/>
    </row>
    <row r="237" spans="3:8" ht="15.75" thickBot="1" x14ac:dyDescent="0.3">
      <c r="C237" s="106"/>
      <c r="D237" s="108"/>
      <c r="E237" s="40">
        <v>1</v>
      </c>
      <c r="F237" s="110"/>
      <c r="G237" s="40"/>
      <c r="H237" s="39">
        <v>75</v>
      </c>
    </row>
    <row r="238" spans="3:8" x14ac:dyDescent="0.25">
      <c r="C238" s="105">
        <v>102</v>
      </c>
      <c r="D238" s="107">
        <v>45673</v>
      </c>
      <c r="E238" s="38">
        <v>4</v>
      </c>
      <c r="F238" s="109" t="s">
        <v>235</v>
      </c>
      <c r="G238" s="38">
        <v>75</v>
      </c>
      <c r="H238" s="37"/>
    </row>
    <row r="239" spans="3:8" ht="15.75" thickBot="1" x14ac:dyDescent="0.3">
      <c r="C239" s="106"/>
      <c r="D239" s="108"/>
      <c r="E239" s="40">
        <v>1</v>
      </c>
      <c r="F239" s="110"/>
      <c r="G239" s="40"/>
      <c r="H239" s="39">
        <v>75</v>
      </c>
    </row>
    <row r="240" spans="3:8" x14ac:dyDescent="0.25">
      <c r="C240" s="105">
        <v>103</v>
      </c>
      <c r="D240" s="107">
        <v>45673</v>
      </c>
      <c r="E240" s="38">
        <v>4</v>
      </c>
      <c r="F240" s="109" t="s">
        <v>179</v>
      </c>
      <c r="G240" s="38">
        <v>80</v>
      </c>
      <c r="H240" s="37"/>
    </row>
    <row r="241" spans="3:8" ht="15.75" thickBot="1" x14ac:dyDescent="0.3">
      <c r="C241" s="106"/>
      <c r="D241" s="108"/>
      <c r="E241" s="40">
        <v>1</v>
      </c>
      <c r="F241" s="110"/>
      <c r="G241" s="40"/>
      <c r="H241" s="39">
        <v>80</v>
      </c>
    </row>
    <row r="242" spans="3:8" x14ac:dyDescent="0.25">
      <c r="C242" s="105">
        <v>104</v>
      </c>
      <c r="D242" s="107">
        <v>45674</v>
      </c>
      <c r="E242" s="38">
        <v>4</v>
      </c>
      <c r="F242" s="109" t="s">
        <v>237</v>
      </c>
      <c r="G242" s="38">
        <v>80</v>
      </c>
      <c r="H242" s="37"/>
    </row>
    <row r="243" spans="3:8" ht="15.75" thickBot="1" x14ac:dyDescent="0.3">
      <c r="C243" s="106"/>
      <c r="D243" s="108"/>
      <c r="E243" s="40">
        <v>1</v>
      </c>
      <c r="F243" s="110"/>
      <c r="G243" s="40"/>
      <c r="H243" s="39">
        <v>80</v>
      </c>
    </row>
    <row r="244" spans="3:8" x14ac:dyDescent="0.25">
      <c r="C244" s="105">
        <v>105</v>
      </c>
      <c r="D244" s="107">
        <v>45674</v>
      </c>
      <c r="E244" s="38">
        <v>4</v>
      </c>
      <c r="F244" s="109" t="s">
        <v>237</v>
      </c>
      <c r="G244" s="38">
        <v>80</v>
      </c>
      <c r="H244" s="37"/>
    </row>
    <row r="245" spans="3:8" ht="15.75" thickBot="1" x14ac:dyDescent="0.3">
      <c r="C245" s="106"/>
      <c r="D245" s="108"/>
      <c r="E245" s="40">
        <v>1</v>
      </c>
      <c r="F245" s="110"/>
      <c r="G245" s="40"/>
      <c r="H245" s="39">
        <v>80</v>
      </c>
    </row>
    <row r="246" spans="3:8" x14ac:dyDescent="0.25">
      <c r="C246" s="105">
        <v>106</v>
      </c>
      <c r="D246" s="107">
        <v>45674</v>
      </c>
      <c r="E246" s="38">
        <v>3</v>
      </c>
      <c r="F246" s="109" t="s">
        <v>238</v>
      </c>
      <c r="G246" s="38">
        <v>693</v>
      </c>
      <c r="H246" s="37"/>
    </row>
    <row r="247" spans="3:8" x14ac:dyDescent="0.25">
      <c r="C247" s="120"/>
      <c r="D247" s="121"/>
      <c r="E247" s="54">
        <v>1</v>
      </c>
      <c r="F247" s="122"/>
      <c r="G247" s="54">
        <v>2</v>
      </c>
      <c r="H247" s="53"/>
    </row>
    <row r="248" spans="3:8" x14ac:dyDescent="0.25">
      <c r="C248" s="120"/>
      <c r="D248" s="121"/>
      <c r="E248" s="54">
        <v>1</v>
      </c>
      <c r="F248" s="122"/>
      <c r="G248" s="54"/>
      <c r="H248" s="53">
        <v>693</v>
      </c>
    </row>
    <row r="249" spans="3:8" ht="15.75" thickBot="1" x14ac:dyDescent="0.3">
      <c r="C249" s="106"/>
      <c r="D249" s="108"/>
      <c r="E249" s="40">
        <v>5</v>
      </c>
      <c r="F249" s="110"/>
      <c r="G249" s="40"/>
      <c r="H249" s="39">
        <v>2</v>
      </c>
    </row>
    <row r="250" spans="3:8" x14ac:dyDescent="0.25">
      <c r="C250" s="105">
        <v>107</v>
      </c>
      <c r="D250" s="107">
        <v>45674</v>
      </c>
      <c r="E250" s="38">
        <v>4</v>
      </c>
      <c r="F250" s="109" t="s">
        <v>237</v>
      </c>
      <c r="G250" s="38">
        <v>110</v>
      </c>
      <c r="H250" s="37"/>
    </row>
    <row r="251" spans="3:8" ht="15.75" thickBot="1" x14ac:dyDescent="0.3">
      <c r="C251" s="106"/>
      <c r="D251" s="108"/>
      <c r="E251" s="40">
        <v>1</v>
      </c>
      <c r="F251" s="110"/>
      <c r="G251" s="40"/>
      <c r="H251" s="39">
        <v>110</v>
      </c>
    </row>
    <row r="252" spans="3:8" x14ac:dyDescent="0.25">
      <c r="C252" s="105">
        <v>108</v>
      </c>
      <c r="D252" s="107">
        <v>45674</v>
      </c>
      <c r="E252" s="38">
        <v>4</v>
      </c>
      <c r="F252" s="109" t="s">
        <v>237</v>
      </c>
      <c r="G252" s="38">
        <v>110</v>
      </c>
      <c r="H252" s="37"/>
    </row>
    <row r="253" spans="3:8" ht="15.75" thickBot="1" x14ac:dyDescent="0.3">
      <c r="C253" s="106"/>
      <c r="D253" s="108"/>
      <c r="E253" s="40">
        <v>1</v>
      </c>
      <c r="F253" s="110"/>
      <c r="G253" s="40"/>
      <c r="H253" s="39">
        <v>110</v>
      </c>
    </row>
    <row r="254" spans="3:8" x14ac:dyDescent="0.25">
      <c r="C254" s="105">
        <v>109</v>
      </c>
      <c r="D254" s="107">
        <v>45674</v>
      </c>
      <c r="E254" s="38">
        <v>5</v>
      </c>
      <c r="F254" s="109" t="s">
        <v>239</v>
      </c>
      <c r="G254" s="38">
        <v>5</v>
      </c>
      <c r="H254" s="37"/>
    </row>
    <row r="255" spans="3:8" ht="15.75" thickBot="1" x14ac:dyDescent="0.3">
      <c r="C255" s="106"/>
      <c r="D255" s="108"/>
      <c r="E255" s="40">
        <v>1</v>
      </c>
      <c r="F255" s="110"/>
      <c r="G255" s="40"/>
      <c r="H255" s="39">
        <v>5</v>
      </c>
    </row>
    <row r="256" spans="3:8" x14ac:dyDescent="0.25">
      <c r="C256" s="105">
        <v>110</v>
      </c>
      <c r="D256" s="107">
        <v>45674</v>
      </c>
      <c r="E256" s="38">
        <v>1</v>
      </c>
      <c r="F256" s="109" t="s">
        <v>7</v>
      </c>
      <c r="G256" s="38">
        <v>905</v>
      </c>
      <c r="H256" s="37"/>
    </row>
    <row r="257" spans="3:11" x14ac:dyDescent="0.25">
      <c r="C257" s="120"/>
      <c r="D257" s="121"/>
      <c r="E257" s="54">
        <v>1</v>
      </c>
      <c r="F257" s="122"/>
      <c r="G257" s="54">
        <v>2</v>
      </c>
      <c r="H257" s="53"/>
    </row>
    <row r="258" spans="3:11" x14ac:dyDescent="0.25">
      <c r="C258" s="120"/>
      <c r="D258" s="121"/>
      <c r="E258" s="54">
        <v>2</v>
      </c>
      <c r="F258" s="122"/>
      <c r="G258" s="54"/>
      <c r="H258" s="53">
        <v>905</v>
      </c>
    </row>
    <row r="259" spans="3:11" ht="15.75" thickBot="1" x14ac:dyDescent="0.3">
      <c r="C259" s="106"/>
      <c r="D259" s="108"/>
      <c r="E259" s="40">
        <v>5</v>
      </c>
      <c r="F259" s="110"/>
      <c r="G259" s="40"/>
      <c r="H259" s="39">
        <v>2</v>
      </c>
    </row>
    <row r="260" spans="3:11" x14ac:dyDescent="0.25">
      <c r="C260" s="105">
        <v>111</v>
      </c>
      <c r="D260" s="107">
        <v>45674</v>
      </c>
      <c r="E260" s="38">
        <v>4</v>
      </c>
      <c r="F260" s="109" t="s">
        <v>144</v>
      </c>
      <c r="G260" s="38">
        <v>75</v>
      </c>
      <c r="H260" s="37"/>
    </row>
    <row r="261" spans="3:11" ht="15.75" thickBot="1" x14ac:dyDescent="0.3">
      <c r="C261" s="106"/>
      <c r="D261" s="108"/>
      <c r="E261" s="40">
        <v>1</v>
      </c>
      <c r="F261" s="110"/>
      <c r="G261" s="40"/>
      <c r="H261" s="39">
        <v>75</v>
      </c>
    </row>
    <row r="262" spans="3:11" x14ac:dyDescent="0.25">
      <c r="C262" s="105">
        <v>112</v>
      </c>
      <c r="D262" s="107">
        <v>45674</v>
      </c>
      <c r="E262" s="38">
        <v>4</v>
      </c>
      <c r="F262" s="109" t="s">
        <v>245</v>
      </c>
      <c r="G262" s="38"/>
      <c r="H262" s="37"/>
      <c r="K262" s="87">
        <v>100</v>
      </c>
    </row>
    <row r="263" spans="3:11" ht="15.75" thickBot="1" x14ac:dyDescent="0.3">
      <c r="C263" s="106"/>
      <c r="D263" s="108"/>
      <c r="E263" s="40">
        <v>1</v>
      </c>
      <c r="F263" s="110"/>
      <c r="G263" s="40"/>
      <c r="H263" s="39"/>
      <c r="K263" s="87"/>
    </row>
    <row r="264" spans="3:11" x14ac:dyDescent="0.25">
      <c r="C264" s="105">
        <v>113</v>
      </c>
      <c r="D264" s="107">
        <v>45675</v>
      </c>
      <c r="E264" s="38">
        <v>4</v>
      </c>
      <c r="F264" s="109" t="s">
        <v>144</v>
      </c>
      <c r="G264" s="38">
        <v>75</v>
      </c>
      <c r="H264" s="37"/>
    </row>
    <row r="265" spans="3:11" ht="15.75" thickBot="1" x14ac:dyDescent="0.3">
      <c r="C265" s="106"/>
      <c r="D265" s="108"/>
      <c r="E265" s="40">
        <v>1</v>
      </c>
      <c r="F265" s="110"/>
      <c r="G265" s="40"/>
      <c r="H265" s="39">
        <v>75</v>
      </c>
    </row>
    <row r="266" spans="3:11" x14ac:dyDescent="0.25">
      <c r="C266" s="105">
        <v>114</v>
      </c>
      <c r="D266" s="107">
        <v>45675</v>
      </c>
      <c r="E266" s="38">
        <v>4</v>
      </c>
      <c r="F266" s="109" t="s">
        <v>144</v>
      </c>
      <c r="G266" s="38">
        <v>100</v>
      </c>
      <c r="H266" s="37"/>
    </row>
    <row r="267" spans="3:11" ht="15.75" thickBot="1" x14ac:dyDescent="0.3">
      <c r="C267" s="106"/>
      <c r="D267" s="108"/>
      <c r="E267" s="40">
        <v>1</v>
      </c>
      <c r="F267" s="110"/>
      <c r="G267" s="40"/>
      <c r="H267" s="39">
        <v>100</v>
      </c>
    </row>
    <row r="268" spans="3:11" x14ac:dyDescent="0.25">
      <c r="C268" s="105">
        <v>115</v>
      </c>
      <c r="D268" s="107">
        <v>45675</v>
      </c>
      <c r="E268" s="38">
        <v>1</v>
      </c>
      <c r="F268" s="109" t="s">
        <v>30</v>
      </c>
      <c r="G268" s="38">
        <v>3</v>
      </c>
      <c r="H268" s="37"/>
    </row>
    <row r="269" spans="3:11" ht="15.75" thickBot="1" x14ac:dyDescent="0.3">
      <c r="C269" s="106"/>
      <c r="D269" s="108"/>
      <c r="E269" s="40">
        <v>5</v>
      </c>
      <c r="F269" s="110"/>
      <c r="G269" s="40"/>
      <c r="H269" s="39">
        <v>3</v>
      </c>
    </row>
    <row r="270" spans="3:11" x14ac:dyDescent="0.25">
      <c r="C270" s="105">
        <v>116</v>
      </c>
      <c r="D270" s="107">
        <v>45675</v>
      </c>
      <c r="E270" s="38">
        <v>1</v>
      </c>
      <c r="F270" s="109" t="s">
        <v>140</v>
      </c>
      <c r="G270" s="38">
        <v>180.2</v>
      </c>
      <c r="H270" s="37"/>
    </row>
    <row r="271" spans="3:11" ht="15.75" thickBot="1" x14ac:dyDescent="0.3">
      <c r="C271" s="106"/>
      <c r="D271" s="108"/>
      <c r="E271" s="40">
        <v>7</v>
      </c>
      <c r="F271" s="110"/>
      <c r="G271" s="40"/>
      <c r="H271" s="39">
        <v>180.2</v>
      </c>
    </row>
    <row r="272" spans="3:11" x14ac:dyDescent="0.25">
      <c r="C272" s="105">
        <v>117</v>
      </c>
      <c r="D272" s="107">
        <v>45675</v>
      </c>
      <c r="E272" s="38">
        <v>1</v>
      </c>
      <c r="F272" s="109" t="s">
        <v>246</v>
      </c>
      <c r="G272" s="38">
        <v>135</v>
      </c>
      <c r="H272" s="37"/>
    </row>
    <row r="273" spans="3:8" ht="15.75" thickBot="1" x14ac:dyDescent="0.3">
      <c r="C273" s="106"/>
      <c r="D273" s="108"/>
      <c r="E273" s="40">
        <v>8</v>
      </c>
      <c r="F273" s="110"/>
      <c r="G273" s="40"/>
      <c r="H273" s="39">
        <v>135</v>
      </c>
    </row>
    <row r="274" spans="3:8" x14ac:dyDescent="0.25">
      <c r="C274" s="105">
        <v>118</v>
      </c>
      <c r="D274" s="107">
        <v>45676</v>
      </c>
      <c r="E274" s="38">
        <v>4</v>
      </c>
      <c r="F274" s="109" t="s">
        <v>237</v>
      </c>
      <c r="G274" s="38">
        <v>110</v>
      </c>
      <c r="H274" s="37"/>
    </row>
    <row r="275" spans="3:8" ht="15.75" thickBot="1" x14ac:dyDescent="0.3">
      <c r="C275" s="106"/>
      <c r="D275" s="108"/>
      <c r="E275" s="40">
        <v>1</v>
      </c>
      <c r="F275" s="110"/>
      <c r="G275" s="40"/>
      <c r="H275" s="39">
        <v>110</v>
      </c>
    </row>
    <row r="276" spans="3:8" x14ac:dyDescent="0.25">
      <c r="C276" s="105">
        <v>119</v>
      </c>
      <c r="D276" s="107">
        <v>45676</v>
      </c>
      <c r="E276" s="38">
        <v>4</v>
      </c>
      <c r="F276" s="109" t="s">
        <v>144</v>
      </c>
      <c r="G276" s="38">
        <v>100</v>
      </c>
      <c r="H276" s="37"/>
    </row>
    <row r="277" spans="3:8" ht="15.75" thickBot="1" x14ac:dyDescent="0.3">
      <c r="C277" s="106"/>
      <c r="D277" s="108"/>
      <c r="E277" s="40">
        <v>1</v>
      </c>
      <c r="F277" s="110"/>
      <c r="G277" s="40"/>
      <c r="H277" s="39">
        <v>100</v>
      </c>
    </row>
    <row r="278" spans="3:8" x14ac:dyDescent="0.25">
      <c r="C278" s="105">
        <v>120</v>
      </c>
      <c r="D278" s="107">
        <v>45676</v>
      </c>
      <c r="E278" s="38">
        <v>1</v>
      </c>
      <c r="F278" s="109" t="s">
        <v>30</v>
      </c>
      <c r="G278" s="38">
        <v>2</v>
      </c>
      <c r="H278" s="37"/>
    </row>
    <row r="279" spans="3:8" ht="15.75" thickBot="1" x14ac:dyDescent="0.3">
      <c r="C279" s="106"/>
      <c r="D279" s="108"/>
      <c r="E279" s="40">
        <v>5</v>
      </c>
      <c r="F279" s="110"/>
      <c r="G279" s="40"/>
      <c r="H279" s="39">
        <v>2</v>
      </c>
    </row>
    <row r="280" spans="3:8" x14ac:dyDescent="0.25">
      <c r="C280" s="105">
        <v>121</v>
      </c>
      <c r="D280" s="107">
        <v>45678</v>
      </c>
      <c r="E280" s="38">
        <v>4</v>
      </c>
      <c r="F280" s="109" t="s">
        <v>144</v>
      </c>
      <c r="G280" s="38">
        <v>100</v>
      </c>
      <c r="H280" s="37"/>
    </row>
    <row r="281" spans="3:8" ht="15.75" thickBot="1" x14ac:dyDescent="0.3">
      <c r="C281" s="106"/>
      <c r="D281" s="108"/>
      <c r="E281" s="40">
        <v>1</v>
      </c>
      <c r="F281" s="110"/>
      <c r="G281" s="40"/>
      <c r="H281" s="39">
        <v>100</v>
      </c>
    </row>
    <row r="282" spans="3:8" x14ac:dyDescent="0.25">
      <c r="C282" s="105">
        <v>122</v>
      </c>
      <c r="D282" s="107">
        <v>45678</v>
      </c>
      <c r="E282" s="38">
        <v>4</v>
      </c>
      <c r="F282" s="109" t="s">
        <v>144</v>
      </c>
      <c r="G282" s="38">
        <v>100</v>
      </c>
      <c r="H282" s="37"/>
    </row>
    <row r="283" spans="3:8" ht="15.75" thickBot="1" x14ac:dyDescent="0.3">
      <c r="C283" s="106"/>
      <c r="D283" s="108"/>
      <c r="E283" s="40">
        <v>1</v>
      </c>
      <c r="F283" s="110"/>
      <c r="G283" s="40"/>
      <c r="H283" s="39">
        <v>100</v>
      </c>
    </row>
    <row r="284" spans="3:8" x14ac:dyDescent="0.25">
      <c r="C284" s="105">
        <v>123</v>
      </c>
      <c r="D284" s="107">
        <v>45678</v>
      </c>
      <c r="E284" s="38">
        <v>1</v>
      </c>
      <c r="F284" s="109" t="s">
        <v>30</v>
      </c>
      <c r="G284" s="38">
        <v>3.5</v>
      </c>
      <c r="H284" s="37"/>
    </row>
    <row r="285" spans="3:8" ht="15.75" thickBot="1" x14ac:dyDescent="0.3">
      <c r="C285" s="106"/>
      <c r="D285" s="108"/>
      <c r="E285" s="40">
        <v>5</v>
      </c>
      <c r="F285" s="110"/>
      <c r="G285" s="40"/>
      <c r="H285" s="39">
        <v>3.5</v>
      </c>
    </row>
    <row r="286" spans="3:8" x14ac:dyDescent="0.25">
      <c r="C286" s="105">
        <v>124</v>
      </c>
      <c r="D286" s="107">
        <v>45678</v>
      </c>
      <c r="E286" s="38">
        <v>3</v>
      </c>
      <c r="F286" s="109" t="s">
        <v>247</v>
      </c>
      <c r="G286" s="38">
        <v>1322</v>
      </c>
      <c r="H286" s="37"/>
    </row>
    <row r="287" spans="3:8" ht="15.75" thickBot="1" x14ac:dyDescent="0.3">
      <c r="C287" s="106"/>
      <c r="D287" s="108"/>
      <c r="E287" s="40">
        <v>1</v>
      </c>
      <c r="F287" s="110"/>
      <c r="G287" s="40"/>
      <c r="H287" s="39">
        <v>1322</v>
      </c>
    </row>
    <row r="288" spans="3:8" x14ac:dyDescent="0.25">
      <c r="C288" s="105">
        <v>125</v>
      </c>
      <c r="D288" s="107">
        <v>45678</v>
      </c>
      <c r="E288" s="38">
        <v>4</v>
      </c>
      <c r="F288" s="109" t="s">
        <v>198</v>
      </c>
      <c r="G288" s="38">
        <v>75</v>
      </c>
      <c r="H288" s="37"/>
    </row>
    <row r="289" spans="3:8" ht="15.75" thickBot="1" x14ac:dyDescent="0.3">
      <c r="C289" s="106"/>
      <c r="D289" s="108"/>
      <c r="E289" s="40">
        <v>1</v>
      </c>
      <c r="F289" s="110"/>
      <c r="G289" s="40"/>
      <c r="H289" s="39">
        <v>75</v>
      </c>
    </row>
    <row r="290" spans="3:8" x14ac:dyDescent="0.25">
      <c r="C290" s="105">
        <v>126</v>
      </c>
      <c r="D290" s="107">
        <v>45678</v>
      </c>
      <c r="E290" s="38">
        <v>4</v>
      </c>
      <c r="F290" s="109" t="s">
        <v>249</v>
      </c>
      <c r="G290" s="38">
        <v>75</v>
      </c>
      <c r="H290" s="37"/>
    </row>
    <row r="291" spans="3:8" ht="15.75" thickBot="1" x14ac:dyDescent="0.3">
      <c r="C291" s="106"/>
      <c r="D291" s="108"/>
      <c r="E291" s="40">
        <v>1</v>
      </c>
      <c r="F291" s="110"/>
      <c r="G291" s="40"/>
      <c r="H291" s="39">
        <v>75</v>
      </c>
    </row>
    <row r="292" spans="3:8" x14ac:dyDescent="0.25">
      <c r="C292" s="105">
        <v>127</v>
      </c>
      <c r="D292" s="107">
        <v>45678</v>
      </c>
      <c r="E292" s="38">
        <v>1</v>
      </c>
      <c r="F292" s="109" t="s">
        <v>223</v>
      </c>
      <c r="G292" s="38">
        <v>62</v>
      </c>
      <c r="H292" s="37"/>
    </row>
    <row r="293" spans="3:8" ht="15.75" thickBot="1" x14ac:dyDescent="0.3">
      <c r="C293" s="106"/>
      <c r="D293" s="108"/>
      <c r="E293" s="40">
        <v>11</v>
      </c>
      <c r="F293" s="110"/>
      <c r="G293" s="40"/>
      <c r="H293" s="39">
        <v>62</v>
      </c>
    </row>
    <row r="294" spans="3:8" x14ac:dyDescent="0.25">
      <c r="C294" s="105">
        <v>128</v>
      </c>
      <c r="D294" s="107">
        <v>45679</v>
      </c>
      <c r="E294" s="38">
        <v>4</v>
      </c>
      <c r="F294" s="109" t="s">
        <v>250</v>
      </c>
      <c r="G294" s="38">
        <v>265</v>
      </c>
      <c r="H294" s="37"/>
    </row>
    <row r="295" spans="3:8" ht="15.75" thickBot="1" x14ac:dyDescent="0.3">
      <c r="C295" s="106"/>
      <c r="D295" s="108"/>
      <c r="E295" s="40">
        <v>1</v>
      </c>
      <c r="F295" s="110"/>
      <c r="G295" s="40"/>
      <c r="H295" s="39">
        <v>265</v>
      </c>
    </row>
    <row r="296" spans="3:8" x14ac:dyDescent="0.25">
      <c r="C296" s="105">
        <v>129</v>
      </c>
      <c r="D296" s="107">
        <v>45679</v>
      </c>
      <c r="E296" s="38">
        <v>4</v>
      </c>
      <c r="F296" s="109" t="s">
        <v>251</v>
      </c>
      <c r="G296" s="38">
        <v>200</v>
      </c>
      <c r="H296" s="37"/>
    </row>
    <row r="297" spans="3:8" ht="15.75" thickBot="1" x14ac:dyDescent="0.3">
      <c r="C297" s="106"/>
      <c r="D297" s="108"/>
      <c r="E297" s="40">
        <v>1</v>
      </c>
      <c r="F297" s="110"/>
      <c r="G297" s="40"/>
      <c r="H297" s="39">
        <v>200</v>
      </c>
    </row>
    <row r="298" spans="3:8" x14ac:dyDescent="0.25">
      <c r="C298" s="105">
        <v>130</v>
      </c>
      <c r="D298" s="107">
        <v>45679</v>
      </c>
      <c r="E298" s="38">
        <v>4</v>
      </c>
      <c r="F298" s="109" t="s">
        <v>252</v>
      </c>
      <c r="G298" s="38">
        <v>200</v>
      </c>
      <c r="H298" s="37"/>
    </row>
    <row r="299" spans="3:8" ht="15.75" thickBot="1" x14ac:dyDescent="0.3">
      <c r="C299" s="106"/>
      <c r="D299" s="108"/>
      <c r="E299" s="40">
        <v>1</v>
      </c>
      <c r="F299" s="110"/>
      <c r="G299" s="40"/>
      <c r="H299" s="39">
        <v>200</v>
      </c>
    </row>
    <row r="300" spans="3:8" x14ac:dyDescent="0.25">
      <c r="C300" s="105">
        <v>131</v>
      </c>
      <c r="D300" s="107">
        <v>45679</v>
      </c>
      <c r="E300" s="38">
        <v>1</v>
      </c>
      <c r="F300" s="109" t="s">
        <v>30</v>
      </c>
      <c r="G300" s="38">
        <v>4</v>
      </c>
      <c r="H300" s="37"/>
    </row>
    <row r="301" spans="3:8" ht="15.75" thickBot="1" x14ac:dyDescent="0.3">
      <c r="C301" s="106"/>
      <c r="D301" s="108"/>
      <c r="E301" s="40">
        <v>5</v>
      </c>
      <c r="F301" s="110"/>
      <c r="G301" s="40"/>
      <c r="H301" s="39">
        <v>4</v>
      </c>
    </row>
    <row r="302" spans="3:8" x14ac:dyDescent="0.25">
      <c r="C302" s="105">
        <v>132</v>
      </c>
      <c r="D302" s="107">
        <v>45679</v>
      </c>
      <c r="E302" s="38">
        <v>4</v>
      </c>
      <c r="F302" s="109" t="s">
        <v>237</v>
      </c>
      <c r="G302" s="38">
        <v>110</v>
      </c>
      <c r="H302" s="37"/>
    </row>
    <row r="303" spans="3:8" ht="15.75" thickBot="1" x14ac:dyDescent="0.3">
      <c r="C303" s="106"/>
      <c r="D303" s="108"/>
      <c r="E303" s="40">
        <v>1</v>
      </c>
      <c r="F303" s="110"/>
      <c r="G303" s="40"/>
      <c r="H303" s="39">
        <v>110</v>
      </c>
    </row>
    <row r="304" spans="3:8" x14ac:dyDescent="0.25">
      <c r="C304" s="105">
        <v>133</v>
      </c>
      <c r="D304" s="107">
        <v>45679</v>
      </c>
      <c r="E304" s="38">
        <v>1</v>
      </c>
      <c r="F304" s="109" t="s">
        <v>135</v>
      </c>
      <c r="G304" s="38">
        <v>25</v>
      </c>
      <c r="H304" s="37"/>
    </row>
    <row r="305" spans="3:8" ht="15.75" thickBot="1" x14ac:dyDescent="0.3">
      <c r="C305" s="106"/>
      <c r="D305" s="108"/>
      <c r="E305" s="40">
        <v>12</v>
      </c>
      <c r="F305" s="110"/>
      <c r="G305" s="40"/>
      <c r="H305" s="39">
        <v>25</v>
      </c>
    </row>
    <row r="306" spans="3:8" x14ac:dyDescent="0.25">
      <c r="C306" s="105">
        <v>134</v>
      </c>
      <c r="D306" s="107">
        <v>45680</v>
      </c>
      <c r="E306" s="38">
        <v>1</v>
      </c>
      <c r="F306" s="109" t="s">
        <v>140</v>
      </c>
      <c r="G306" s="38">
        <v>178.5</v>
      </c>
      <c r="H306" s="37"/>
    </row>
    <row r="307" spans="3:8" ht="15.75" thickBot="1" x14ac:dyDescent="0.3">
      <c r="C307" s="106"/>
      <c r="D307" s="108"/>
      <c r="E307" s="40">
        <v>7</v>
      </c>
      <c r="F307" s="110"/>
      <c r="G307" s="40"/>
      <c r="H307" s="39">
        <v>178.5</v>
      </c>
    </row>
    <row r="308" spans="3:8" x14ac:dyDescent="0.25">
      <c r="C308" s="105">
        <v>135</v>
      </c>
      <c r="D308" s="107">
        <v>45680</v>
      </c>
      <c r="E308" s="38">
        <v>1</v>
      </c>
      <c r="F308" s="109" t="s">
        <v>7</v>
      </c>
      <c r="G308" s="38">
        <v>47.5</v>
      </c>
      <c r="H308" s="37"/>
    </row>
    <row r="309" spans="3:8" ht="15.75" thickBot="1" x14ac:dyDescent="0.3">
      <c r="C309" s="106"/>
      <c r="D309" s="108"/>
      <c r="E309" s="40">
        <v>2</v>
      </c>
      <c r="F309" s="110"/>
      <c r="G309" s="40"/>
      <c r="H309" s="39">
        <v>47.5</v>
      </c>
    </row>
    <row r="310" spans="3:8" x14ac:dyDescent="0.25">
      <c r="C310" s="105">
        <v>136</v>
      </c>
      <c r="D310" s="107">
        <v>45679</v>
      </c>
      <c r="E310" s="38">
        <v>1</v>
      </c>
      <c r="F310" s="109" t="s">
        <v>135</v>
      </c>
      <c r="G310" s="38">
        <v>26</v>
      </c>
      <c r="H310" s="37"/>
    </row>
    <row r="311" spans="3:8" ht="15.75" thickBot="1" x14ac:dyDescent="0.3">
      <c r="C311" s="106"/>
      <c r="D311" s="108"/>
      <c r="E311" s="40">
        <v>5</v>
      </c>
      <c r="F311" s="110"/>
      <c r="G311" s="40"/>
      <c r="H311" s="39">
        <v>26</v>
      </c>
    </row>
    <row r="312" spans="3:8" x14ac:dyDescent="0.25">
      <c r="C312" s="105">
        <v>137</v>
      </c>
      <c r="D312" s="107">
        <v>45681</v>
      </c>
      <c r="E312" s="38">
        <v>3</v>
      </c>
      <c r="F312" s="109" t="s">
        <v>283</v>
      </c>
      <c r="G312" s="38">
        <v>1563</v>
      </c>
      <c r="H312" s="37"/>
    </row>
    <row r="313" spans="3:8" ht="15.75" thickBot="1" x14ac:dyDescent="0.3">
      <c r="C313" s="106"/>
      <c r="D313" s="108"/>
      <c r="E313" s="40">
        <v>1</v>
      </c>
      <c r="F313" s="110"/>
      <c r="G313" s="40"/>
      <c r="H313" s="39">
        <v>1563</v>
      </c>
    </row>
    <row r="314" spans="3:8" x14ac:dyDescent="0.25">
      <c r="C314" s="105">
        <v>138</v>
      </c>
      <c r="D314" s="107">
        <v>45682</v>
      </c>
      <c r="E314" s="38">
        <v>1</v>
      </c>
      <c r="F314" s="109" t="s">
        <v>254</v>
      </c>
      <c r="G314" s="38">
        <v>150</v>
      </c>
      <c r="H314" s="37"/>
    </row>
    <row r="315" spans="3:8" ht="15.75" thickBot="1" x14ac:dyDescent="0.3">
      <c r="C315" s="106"/>
      <c r="D315" s="108"/>
      <c r="E315" s="40">
        <v>11</v>
      </c>
      <c r="F315" s="110"/>
      <c r="G315" s="40"/>
      <c r="H315" s="39">
        <v>150</v>
      </c>
    </row>
    <row r="316" spans="3:8" x14ac:dyDescent="0.25">
      <c r="C316" s="105">
        <v>139</v>
      </c>
      <c r="D316" s="107">
        <v>45682</v>
      </c>
      <c r="E316" s="38">
        <v>1</v>
      </c>
      <c r="F316" s="109" t="s">
        <v>134</v>
      </c>
      <c r="G316" s="38">
        <v>10</v>
      </c>
      <c r="H316" s="37"/>
    </row>
    <row r="317" spans="3:8" ht="15.75" thickBot="1" x14ac:dyDescent="0.3">
      <c r="C317" s="106"/>
      <c r="D317" s="108"/>
      <c r="E317" s="40">
        <v>7</v>
      </c>
      <c r="F317" s="110"/>
      <c r="G317" s="40"/>
      <c r="H317" s="39">
        <v>10</v>
      </c>
    </row>
    <row r="318" spans="3:8" x14ac:dyDescent="0.25">
      <c r="C318" s="105">
        <v>140</v>
      </c>
      <c r="D318" s="107">
        <v>45682</v>
      </c>
      <c r="E318" s="38">
        <v>4</v>
      </c>
      <c r="F318" s="109" t="s">
        <v>255</v>
      </c>
      <c r="G318" s="38">
        <v>110</v>
      </c>
      <c r="H318" s="37"/>
    </row>
    <row r="319" spans="3:8" ht="15.75" thickBot="1" x14ac:dyDescent="0.3">
      <c r="C319" s="106"/>
      <c r="D319" s="108"/>
      <c r="E319" s="40">
        <v>1</v>
      </c>
      <c r="F319" s="110"/>
      <c r="G319" s="40"/>
      <c r="H319" s="39">
        <v>110</v>
      </c>
    </row>
    <row r="320" spans="3:8" x14ac:dyDescent="0.25">
      <c r="C320" s="105">
        <v>141</v>
      </c>
      <c r="D320" s="107">
        <v>45682</v>
      </c>
      <c r="E320" s="38">
        <v>4</v>
      </c>
      <c r="F320" s="109" t="s">
        <v>237</v>
      </c>
      <c r="G320" s="38">
        <v>80</v>
      </c>
      <c r="H320" s="37"/>
    </row>
    <row r="321" spans="3:8" ht="15.75" thickBot="1" x14ac:dyDescent="0.3">
      <c r="C321" s="106"/>
      <c r="D321" s="108"/>
      <c r="E321" s="40">
        <v>1</v>
      </c>
      <c r="F321" s="110"/>
      <c r="G321" s="40"/>
      <c r="H321" s="39">
        <v>80</v>
      </c>
    </row>
    <row r="322" spans="3:8" x14ac:dyDescent="0.25">
      <c r="C322" s="105">
        <v>142</v>
      </c>
      <c r="D322" s="107">
        <v>45683</v>
      </c>
      <c r="E322" s="38">
        <v>1</v>
      </c>
      <c r="F322" s="109" t="s">
        <v>134</v>
      </c>
      <c r="G322" s="38">
        <v>52.6</v>
      </c>
      <c r="H322" s="37"/>
    </row>
    <row r="323" spans="3:8" ht="15.75" thickBot="1" x14ac:dyDescent="0.3">
      <c r="C323" s="106"/>
      <c r="D323" s="108"/>
      <c r="E323" s="40">
        <v>7</v>
      </c>
      <c r="F323" s="110"/>
      <c r="G323" s="40"/>
      <c r="H323" s="39">
        <v>52.6</v>
      </c>
    </row>
    <row r="324" spans="3:8" x14ac:dyDescent="0.25">
      <c r="C324" s="105">
        <v>143</v>
      </c>
      <c r="D324" s="107">
        <v>45684</v>
      </c>
      <c r="E324" s="38">
        <v>4</v>
      </c>
      <c r="F324" s="109" t="s">
        <v>133</v>
      </c>
      <c r="G324" s="38">
        <v>100</v>
      </c>
      <c r="H324" s="37"/>
    </row>
    <row r="325" spans="3:8" ht="15.75" thickBot="1" x14ac:dyDescent="0.3">
      <c r="C325" s="106"/>
      <c r="D325" s="108"/>
      <c r="E325" s="40">
        <v>1</v>
      </c>
      <c r="F325" s="110"/>
      <c r="G325" s="40"/>
      <c r="H325" s="39">
        <v>100</v>
      </c>
    </row>
    <row r="326" spans="3:8" x14ac:dyDescent="0.25">
      <c r="C326" s="105">
        <v>144</v>
      </c>
      <c r="D326" s="107">
        <v>45684</v>
      </c>
      <c r="E326" s="38">
        <v>4</v>
      </c>
      <c r="F326" s="109" t="s">
        <v>136</v>
      </c>
      <c r="G326" s="38">
        <v>100</v>
      </c>
      <c r="H326" s="37"/>
    </row>
    <row r="327" spans="3:8" ht="15.75" thickBot="1" x14ac:dyDescent="0.3">
      <c r="C327" s="106"/>
      <c r="D327" s="108"/>
      <c r="E327" s="40">
        <v>1</v>
      </c>
      <c r="F327" s="110"/>
      <c r="G327" s="40"/>
      <c r="H327" s="39">
        <v>100</v>
      </c>
    </row>
    <row r="328" spans="3:8" x14ac:dyDescent="0.25">
      <c r="C328" s="105">
        <v>145</v>
      </c>
      <c r="D328" s="107">
        <v>45684</v>
      </c>
      <c r="E328" s="38">
        <v>4</v>
      </c>
      <c r="F328" s="109" t="s">
        <v>235</v>
      </c>
      <c r="G328" s="38">
        <v>100</v>
      </c>
      <c r="H328" s="37"/>
    </row>
    <row r="329" spans="3:8" ht="15.75" thickBot="1" x14ac:dyDescent="0.3">
      <c r="C329" s="106"/>
      <c r="D329" s="108"/>
      <c r="E329" s="40">
        <v>1</v>
      </c>
      <c r="F329" s="110"/>
      <c r="G329" s="40"/>
      <c r="H329" s="39">
        <v>100</v>
      </c>
    </row>
    <row r="330" spans="3:8" x14ac:dyDescent="0.25">
      <c r="C330" s="105">
        <v>146</v>
      </c>
      <c r="D330" s="107">
        <v>45684</v>
      </c>
      <c r="E330" s="38">
        <v>1</v>
      </c>
      <c r="F330" s="109" t="s">
        <v>135</v>
      </c>
      <c r="G330" s="38">
        <v>4</v>
      </c>
      <c r="H330" s="37"/>
    </row>
    <row r="331" spans="3:8" ht="15.75" thickBot="1" x14ac:dyDescent="0.3">
      <c r="C331" s="106"/>
      <c r="D331" s="108"/>
      <c r="E331" s="40">
        <v>12</v>
      </c>
      <c r="F331" s="110"/>
      <c r="G331" s="40"/>
      <c r="H331" s="39">
        <v>4</v>
      </c>
    </row>
    <row r="332" spans="3:8" x14ac:dyDescent="0.25">
      <c r="C332" s="105">
        <v>147</v>
      </c>
      <c r="D332" s="107">
        <v>45684</v>
      </c>
      <c r="E332" s="38">
        <v>5</v>
      </c>
      <c r="F332" s="109" t="s">
        <v>239</v>
      </c>
      <c r="G332" s="38">
        <v>5</v>
      </c>
      <c r="H332" s="37"/>
    </row>
    <row r="333" spans="3:8" ht="15.75" thickBot="1" x14ac:dyDescent="0.3">
      <c r="C333" s="106"/>
      <c r="D333" s="108"/>
      <c r="E333" s="40">
        <v>1</v>
      </c>
      <c r="F333" s="110"/>
      <c r="G333" s="40"/>
      <c r="H333" s="39">
        <v>5</v>
      </c>
    </row>
    <row r="334" spans="3:8" x14ac:dyDescent="0.25">
      <c r="C334" s="105">
        <v>148</v>
      </c>
      <c r="D334" s="107">
        <v>45683</v>
      </c>
      <c r="E334" s="38">
        <v>1</v>
      </c>
      <c r="F334" s="109" t="s">
        <v>259</v>
      </c>
      <c r="G334" s="38">
        <v>90</v>
      </c>
      <c r="H334" s="37"/>
    </row>
    <row r="335" spans="3:8" ht="15.75" thickBot="1" x14ac:dyDescent="0.3">
      <c r="C335" s="106"/>
      <c r="D335" s="108"/>
      <c r="E335" s="40">
        <v>2</v>
      </c>
      <c r="F335" s="110"/>
      <c r="G335" s="40"/>
      <c r="H335" s="39">
        <v>90</v>
      </c>
    </row>
    <row r="336" spans="3:8" x14ac:dyDescent="0.25">
      <c r="C336" s="105">
        <v>149</v>
      </c>
      <c r="D336" s="107">
        <v>45684</v>
      </c>
      <c r="E336" s="38">
        <v>1</v>
      </c>
      <c r="F336" s="109" t="s">
        <v>223</v>
      </c>
      <c r="G336" s="38">
        <v>87</v>
      </c>
      <c r="H336" s="37"/>
    </row>
    <row r="337" spans="3:8" ht="15.75" thickBot="1" x14ac:dyDescent="0.3">
      <c r="C337" s="106"/>
      <c r="D337" s="108"/>
      <c r="E337" s="40">
        <v>11</v>
      </c>
      <c r="F337" s="110"/>
      <c r="G337" s="40"/>
      <c r="H337" s="39">
        <v>87</v>
      </c>
    </row>
    <row r="338" spans="3:8" x14ac:dyDescent="0.25">
      <c r="C338" s="105">
        <v>150</v>
      </c>
      <c r="D338" s="107">
        <v>45684</v>
      </c>
      <c r="E338" s="38">
        <v>1</v>
      </c>
      <c r="F338" s="109" t="s">
        <v>7</v>
      </c>
      <c r="G338" s="38">
        <v>3818</v>
      </c>
      <c r="H338" s="37"/>
    </row>
    <row r="339" spans="3:8" ht="15.75" thickBot="1" x14ac:dyDescent="0.3">
      <c r="C339" s="106"/>
      <c r="D339" s="108"/>
      <c r="E339" s="40">
        <v>2</v>
      </c>
      <c r="F339" s="110"/>
      <c r="G339" s="40"/>
      <c r="H339" s="39">
        <v>3818</v>
      </c>
    </row>
    <row r="340" spans="3:8" x14ac:dyDescent="0.25">
      <c r="C340" s="105">
        <v>151</v>
      </c>
      <c r="D340" s="107">
        <v>45684</v>
      </c>
      <c r="E340" s="38">
        <v>1</v>
      </c>
      <c r="F340" s="109" t="s">
        <v>30</v>
      </c>
      <c r="G340" s="38">
        <v>42</v>
      </c>
      <c r="H340" s="37"/>
    </row>
    <row r="341" spans="3:8" ht="15.75" thickBot="1" x14ac:dyDescent="0.3">
      <c r="C341" s="106"/>
      <c r="D341" s="108"/>
      <c r="E341" s="40">
        <v>9</v>
      </c>
      <c r="F341" s="110"/>
      <c r="G341" s="40"/>
      <c r="H341" s="39">
        <v>42</v>
      </c>
    </row>
    <row r="342" spans="3:8" x14ac:dyDescent="0.25">
      <c r="C342" s="105">
        <v>152</v>
      </c>
      <c r="D342" s="107">
        <v>45684</v>
      </c>
      <c r="E342" s="38">
        <v>4</v>
      </c>
      <c r="F342" s="109" t="s">
        <v>133</v>
      </c>
      <c r="G342" s="38">
        <v>100</v>
      </c>
      <c r="H342" s="37"/>
    </row>
    <row r="343" spans="3:8" ht="15.75" thickBot="1" x14ac:dyDescent="0.3">
      <c r="C343" s="106"/>
      <c r="D343" s="108"/>
      <c r="E343" s="40">
        <v>1</v>
      </c>
      <c r="F343" s="110"/>
      <c r="G343" s="40"/>
      <c r="H343" s="39">
        <v>100</v>
      </c>
    </row>
    <row r="344" spans="3:8" x14ac:dyDescent="0.25">
      <c r="C344" s="105">
        <v>153</v>
      </c>
      <c r="D344" s="107">
        <v>45684</v>
      </c>
      <c r="E344" s="38">
        <v>4</v>
      </c>
      <c r="F344" s="109" t="s">
        <v>237</v>
      </c>
      <c r="G344" s="38">
        <v>110</v>
      </c>
      <c r="H344" s="37"/>
    </row>
    <row r="345" spans="3:8" ht="15.75" thickBot="1" x14ac:dyDescent="0.3">
      <c r="C345" s="106"/>
      <c r="D345" s="108"/>
      <c r="E345" s="40">
        <v>1</v>
      </c>
      <c r="F345" s="110"/>
      <c r="G345" s="40"/>
      <c r="H345" s="39">
        <v>110</v>
      </c>
    </row>
    <row r="346" spans="3:8" x14ac:dyDescent="0.25">
      <c r="C346" s="105">
        <v>154</v>
      </c>
      <c r="D346" s="107">
        <v>45684</v>
      </c>
      <c r="E346" s="38">
        <v>4</v>
      </c>
      <c r="F346" s="109" t="s">
        <v>261</v>
      </c>
      <c r="G346" s="38">
        <v>110</v>
      </c>
      <c r="H346" s="37"/>
    </row>
    <row r="347" spans="3:8" ht="15.75" thickBot="1" x14ac:dyDescent="0.3">
      <c r="C347" s="106"/>
      <c r="D347" s="108"/>
      <c r="E347" s="40">
        <v>1</v>
      </c>
      <c r="F347" s="110"/>
      <c r="G347" s="40"/>
      <c r="H347" s="39">
        <v>110</v>
      </c>
    </row>
    <row r="348" spans="3:8" x14ac:dyDescent="0.25">
      <c r="C348" s="105">
        <v>155</v>
      </c>
      <c r="D348" s="107">
        <v>45684</v>
      </c>
      <c r="E348" s="38">
        <v>1</v>
      </c>
      <c r="F348" s="109" t="s">
        <v>262</v>
      </c>
      <c r="G348" s="38">
        <v>85</v>
      </c>
      <c r="H348" s="37"/>
    </row>
    <row r="349" spans="3:8" ht="15.75" thickBot="1" x14ac:dyDescent="0.3">
      <c r="C349" s="106"/>
      <c r="D349" s="108"/>
      <c r="E349" s="40">
        <v>11</v>
      </c>
      <c r="F349" s="110"/>
      <c r="G349" s="40"/>
      <c r="H349" s="39">
        <v>85</v>
      </c>
    </row>
    <row r="350" spans="3:8" x14ac:dyDescent="0.25">
      <c r="C350" s="105">
        <v>156</v>
      </c>
      <c r="D350" s="107">
        <v>45684</v>
      </c>
      <c r="E350" s="38">
        <v>1</v>
      </c>
      <c r="F350" s="109" t="s">
        <v>134</v>
      </c>
      <c r="G350" s="38">
        <v>25</v>
      </c>
      <c r="H350" s="37"/>
    </row>
    <row r="351" spans="3:8" ht="15.75" thickBot="1" x14ac:dyDescent="0.3">
      <c r="C351" s="106"/>
      <c r="D351" s="108"/>
      <c r="E351" s="40">
        <v>7</v>
      </c>
      <c r="F351" s="110"/>
      <c r="G351" s="40"/>
      <c r="H351" s="39">
        <v>25</v>
      </c>
    </row>
    <row r="352" spans="3:8" x14ac:dyDescent="0.25">
      <c r="C352" s="105">
        <v>157</v>
      </c>
      <c r="D352" s="107">
        <v>45684</v>
      </c>
      <c r="E352" s="38">
        <v>1</v>
      </c>
      <c r="F352" s="109" t="s">
        <v>263</v>
      </c>
      <c r="G352" s="38">
        <v>72.5</v>
      </c>
      <c r="H352" s="37"/>
    </row>
    <row r="353" spans="3:8" ht="15.75" thickBot="1" x14ac:dyDescent="0.3">
      <c r="C353" s="106"/>
      <c r="D353" s="108"/>
      <c r="E353" s="40">
        <v>8</v>
      </c>
      <c r="F353" s="110"/>
      <c r="G353" s="40"/>
      <c r="H353" s="39">
        <v>72.5</v>
      </c>
    </row>
    <row r="354" spans="3:8" x14ac:dyDescent="0.25">
      <c r="C354" s="105">
        <v>158</v>
      </c>
      <c r="D354" s="107">
        <v>45685</v>
      </c>
      <c r="E354" s="38">
        <v>4</v>
      </c>
      <c r="F354" s="109" t="s">
        <v>255</v>
      </c>
      <c r="G354" s="38">
        <v>110</v>
      </c>
      <c r="H354" s="37"/>
    </row>
    <row r="355" spans="3:8" ht="15.75" thickBot="1" x14ac:dyDescent="0.3">
      <c r="C355" s="106"/>
      <c r="D355" s="108"/>
      <c r="E355" s="40">
        <v>1</v>
      </c>
      <c r="F355" s="110"/>
      <c r="G355" s="40"/>
      <c r="H355" s="39">
        <v>110</v>
      </c>
    </row>
    <row r="356" spans="3:8" x14ac:dyDescent="0.25">
      <c r="C356" s="105">
        <v>159</v>
      </c>
      <c r="D356" s="107">
        <v>45685</v>
      </c>
      <c r="E356" s="38">
        <v>4</v>
      </c>
      <c r="F356" s="109" t="s">
        <v>244</v>
      </c>
      <c r="G356" s="38">
        <v>100</v>
      </c>
      <c r="H356" s="37"/>
    </row>
    <row r="357" spans="3:8" ht="15.75" thickBot="1" x14ac:dyDescent="0.3">
      <c r="C357" s="106"/>
      <c r="D357" s="108"/>
      <c r="E357" s="40">
        <v>1</v>
      </c>
      <c r="F357" s="110"/>
      <c r="G357" s="40"/>
      <c r="H357" s="39">
        <v>100</v>
      </c>
    </row>
    <row r="358" spans="3:8" x14ac:dyDescent="0.25">
      <c r="C358" s="105">
        <v>160</v>
      </c>
      <c r="D358" s="107">
        <v>45685</v>
      </c>
      <c r="E358" s="38">
        <v>4</v>
      </c>
      <c r="F358" s="109" t="s">
        <v>264</v>
      </c>
      <c r="G358" s="38">
        <v>190</v>
      </c>
      <c r="H358" s="37"/>
    </row>
    <row r="359" spans="3:8" ht="15.75" thickBot="1" x14ac:dyDescent="0.3">
      <c r="C359" s="106"/>
      <c r="D359" s="108"/>
      <c r="E359" s="40">
        <v>1</v>
      </c>
      <c r="F359" s="110"/>
      <c r="G359" s="40"/>
      <c r="H359" s="39">
        <v>190</v>
      </c>
    </row>
    <row r="360" spans="3:8" x14ac:dyDescent="0.25">
      <c r="C360" s="105">
        <v>161</v>
      </c>
      <c r="D360" s="107">
        <v>45685</v>
      </c>
      <c r="E360" s="38">
        <v>4</v>
      </c>
      <c r="F360" s="109" t="s">
        <v>265</v>
      </c>
      <c r="G360" s="38">
        <v>120</v>
      </c>
      <c r="H360" s="37"/>
    </row>
    <row r="361" spans="3:8" ht="15.75" thickBot="1" x14ac:dyDescent="0.3">
      <c r="C361" s="106"/>
      <c r="D361" s="108"/>
      <c r="E361" s="40">
        <v>1</v>
      </c>
      <c r="F361" s="110"/>
      <c r="G361" s="40"/>
      <c r="H361" s="39">
        <v>120</v>
      </c>
    </row>
    <row r="362" spans="3:8" x14ac:dyDescent="0.25">
      <c r="C362" s="105">
        <v>162</v>
      </c>
      <c r="D362" s="107">
        <v>45685</v>
      </c>
      <c r="E362" s="38">
        <v>1</v>
      </c>
      <c r="F362" s="109" t="s">
        <v>30</v>
      </c>
      <c r="G362" s="38">
        <v>6.7</v>
      </c>
      <c r="H362" s="37"/>
    </row>
    <row r="363" spans="3:8" ht="15.75" thickBot="1" x14ac:dyDescent="0.3">
      <c r="C363" s="106"/>
      <c r="D363" s="108"/>
      <c r="E363" s="40">
        <v>5</v>
      </c>
      <c r="F363" s="110"/>
      <c r="G363" s="40"/>
      <c r="H363" s="39">
        <v>6.7</v>
      </c>
    </row>
    <row r="364" spans="3:8" x14ac:dyDescent="0.25">
      <c r="C364" s="105">
        <v>163</v>
      </c>
      <c r="D364" s="107">
        <v>45685</v>
      </c>
      <c r="E364" s="38">
        <v>1</v>
      </c>
      <c r="F364" s="109" t="s">
        <v>266</v>
      </c>
      <c r="G364" s="38">
        <v>12</v>
      </c>
      <c r="H364" s="37"/>
    </row>
    <row r="365" spans="3:8" ht="15.75" thickBot="1" x14ac:dyDescent="0.3">
      <c r="C365" s="106"/>
      <c r="D365" s="108"/>
      <c r="E365" s="40">
        <v>5</v>
      </c>
      <c r="F365" s="110"/>
      <c r="G365" s="40"/>
      <c r="H365" s="39">
        <v>12</v>
      </c>
    </row>
    <row r="366" spans="3:8" x14ac:dyDescent="0.25">
      <c r="C366" s="105">
        <v>164</v>
      </c>
      <c r="D366" s="107">
        <v>45685</v>
      </c>
      <c r="E366" s="38">
        <v>1</v>
      </c>
      <c r="F366" s="109" t="s">
        <v>267</v>
      </c>
      <c r="G366" s="38">
        <v>30</v>
      </c>
      <c r="H366" s="37"/>
    </row>
    <row r="367" spans="3:8" ht="15.75" thickBot="1" x14ac:dyDescent="0.3">
      <c r="C367" s="106"/>
      <c r="D367" s="108"/>
      <c r="E367" s="40">
        <v>12</v>
      </c>
      <c r="F367" s="110"/>
      <c r="G367" s="40"/>
      <c r="H367" s="39">
        <v>30</v>
      </c>
    </row>
    <row r="368" spans="3:8" x14ac:dyDescent="0.25">
      <c r="C368" s="105">
        <v>165</v>
      </c>
      <c r="D368" s="107">
        <v>45687</v>
      </c>
      <c r="E368" s="38">
        <v>1</v>
      </c>
      <c r="F368" s="109" t="s">
        <v>7</v>
      </c>
      <c r="G368" s="38">
        <v>95</v>
      </c>
      <c r="H368" s="37"/>
    </row>
    <row r="369" spans="3:8" ht="15.75" thickBot="1" x14ac:dyDescent="0.3">
      <c r="C369" s="106"/>
      <c r="D369" s="108"/>
      <c r="E369" s="40">
        <v>2</v>
      </c>
      <c r="F369" s="110"/>
      <c r="G369" s="40"/>
      <c r="H369" s="39">
        <v>95</v>
      </c>
    </row>
    <row r="370" spans="3:8" x14ac:dyDescent="0.25">
      <c r="C370" s="105">
        <v>166</v>
      </c>
      <c r="D370" s="107">
        <v>45687</v>
      </c>
      <c r="E370" s="38">
        <v>3</v>
      </c>
      <c r="F370" s="109" t="s">
        <v>284</v>
      </c>
      <c r="G370" s="38">
        <v>3483</v>
      </c>
      <c r="H370" s="37"/>
    </row>
    <row r="371" spans="3:8" ht="15.75" thickBot="1" x14ac:dyDescent="0.3">
      <c r="C371" s="106"/>
      <c r="D371" s="108"/>
      <c r="E371" s="40">
        <v>1</v>
      </c>
      <c r="F371" s="110"/>
      <c r="G371" s="40"/>
      <c r="H371" s="39">
        <v>3483</v>
      </c>
    </row>
    <row r="372" spans="3:8" x14ac:dyDescent="0.25">
      <c r="C372" s="105">
        <v>167</v>
      </c>
      <c r="D372" s="107">
        <v>45687</v>
      </c>
      <c r="E372" s="38">
        <v>1</v>
      </c>
      <c r="F372" s="109" t="s">
        <v>7</v>
      </c>
      <c r="G372" s="38">
        <v>281.5</v>
      </c>
      <c r="H372" s="37"/>
    </row>
    <row r="373" spans="3:8" ht="15.75" thickBot="1" x14ac:dyDescent="0.3">
      <c r="C373" s="106"/>
      <c r="D373" s="108"/>
      <c r="E373" s="40">
        <v>2</v>
      </c>
      <c r="F373" s="110"/>
      <c r="G373" s="40"/>
      <c r="H373" s="39">
        <v>281.5</v>
      </c>
    </row>
    <row r="374" spans="3:8" x14ac:dyDescent="0.25">
      <c r="C374" s="105">
        <v>168</v>
      </c>
      <c r="D374" s="107">
        <v>45687</v>
      </c>
      <c r="E374" s="38">
        <v>3</v>
      </c>
      <c r="F374" s="109" t="s">
        <v>285</v>
      </c>
      <c r="G374" s="38">
        <v>1192</v>
      </c>
      <c r="H374" s="37"/>
    </row>
    <row r="375" spans="3:8" ht="15.75" thickBot="1" x14ac:dyDescent="0.3">
      <c r="C375" s="106"/>
      <c r="D375" s="108"/>
      <c r="E375" s="40">
        <v>1</v>
      </c>
      <c r="F375" s="110"/>
      <c r="G375" s="40"/>
      <c r="H375" s="39">
        <v>1192</v>
      </c>
    </row>
    <row r="376" spans="3:8" x14ac:dyDescent="0.25">
      <c r="C376" s="105">
        <v>169</v>
      </c>
      <c r="D376" s="107">
        <v>45687</v>
      </c>
      <c r="E376" s="38">
        <v>4</v>
      </c>
      <c r="F376" s="109" t="s">
        <v>286</v>
      </c>
      <c r="G376" s="38">
        <v>75</v>
      </c>
      <c r="H376" s="37"/>
    </row>
    <row r="377" spans="3:8" ht="15.75" thickBot="1" x14ac:dyDescent="0.3">
      <c r="C377" s="106"/>
      <c r="D377" s="108"/>
      <c r="E377" s="40">
        <v>1</v>
      </c>
      <c r="F377" s="110"/>
      <c r="G377" s="40"/>
      <c r="H377" s="39">
        <v>75</v>
      </c>
    </row>
    <row r="378" spans="3:8" x14ac:dyDescent="0.25">
      <c r="C378" s="105">
        <v>170</v>
      </c>
      <c r="D378" s="107">
        <v>45687</v>
      </c>
      <c r="E378" s="38">
        <v>1</v>
      </c>
      <c r="F378" s="109" t="s">
        <v>135</v>
      </c>
      <c r="G378" s="38">
        <v>25</v>
      </c>
      <c r="H378" s="37"/>
    </row>
    <row r="379" spans="3:8" ht="15.75" thickBot="1" x14ac:dyDescent="0.3">
      <c r="C379" s="106"/>
      <c r="D379" s="108"/>
      <c r="E379" s="40">
        <v>12</v>
      </c>
      <c r="F379" s="110"/>
      <c r="G379" s="40"/>
      <c r="H379" s="39">
        <v>25</v>
      </c>
    </row>
    <row r="380" spans="3:8" x14ac:dyDescent="0.25">
      <c r="C380" s="105">
        <v>171</v>
      </c>
      <c r="D380" s="107">
        <v>45687</v>
      </c>
      <c r="E380" s="38">
        <v>1</v>
      </c>
      <c r="F380" s="109" t="s">
        <v>30</v>
      </c>
      <c r="G380" s="38">
        <v>6</v>
      </c>
      <c r="H380" s="37"/>
    </row>
    <row r="381" spans="3:8" ht="15.75" thickBot="1" x14ac:dyDescent="0.3">
      <c r="C381" s="106"/>
      <c r="D381" s="108"/>
      <c r="E381" s="40">
        <v>5</v>
      </c>
      <c r="F381" s="110"/>
      <c r="G381" s="40"/>
      <c r="H381" s="39">
        <v>6</v>
      </c>
    </row>
    <row r="382" spans="3:8" x14ac:dyDescent="0.25">
      <c r="C382" s="105">
        <v>172</v>
      </c>
      <c r="D382" s="107">
        <v>45688</v>
      </c>
      <c r="E382" s="38">
        <v>1</v>
      </c>
      <c r="F382" s="109" t="s">
        <v>287</v>
      </c>
      <c r="G382" s="38">
        <v>6615</v>
      </c>
      <c r="H382" s="37"/>
    </row>
    <row r="383" spans="3:8" ht="15.75" thickBot="1" x14ac:dyDescent="0.3">
      <c r="C383" s="106"/>
      <c r="D383" s="108"/>
      <c r="E383" s="40">
        <v>10</v>
      </c>
      <c r="F383" s="110"/>
      <c r="G383" s="40"/>
      <c r="H383" s="39">
        <v>6615</v>
      </c>
    </row>
    <row r="384" spans="3:8" x14ac:dyDescent="0.25">
      <c r="C384" s="105">
        <v>173</v>
      </c>
      <c r="D384" s="107">
        <v>45688</v>
      </c>
      <c r="E384" s="38">
        <v>4</v>
      </c>
      <c r="F384" s="109" t="s">
        <v>198</v>
      </c>
      <c r="G384" s="38">
        <v>100</v>
      </c>
      <c r="H384" s="37"/>
    </row>
    <row r="385" spans="3:12" ht="15.75" thickBot="1" x14ac:dyDescent="0.3">
      <c r="C385" s="106"/>
      <c r="D385" s="108"/>
      <c r="E385" s="40">
        <v>1</v>
      </c>
      <c r="F385" s="110"/>
      <c r="G385" s="40"/>
      <c r="H385" s="39">
        <v>100</v>
      </c>
    </row>
    <row r="386" spans="3:12" x14ac:dyDescent="0.25">
      <c r="C386" s="105">
        <v>174</v>
      </c>
      <c r="D386" s="107">
        <v>45688</v>
      </c>
      <c r="E386" s="38">
        <v>1</v>
      </c>
      <c r="F386" s="109" t="s">
        <v>30</v>
      </c>
      <c r="G386" s="38">
        <v>2</v>
      </c>
      <c r="H386" s="37"/>
    </row>
    <row r="387" spans="3:12" ht="15.75" thickBot="1" x14ac:dyDescent="0.3">
      <c r="C387" s="106"/>
      <c r="D387" s="108"/>
      <c r="E387" s="40">
        <v>5</v>
      </c>
      <c r="F387" s="110"/>
      <c r="G387" s="40"/>
      <c r="H387" s="39">
        <v>2</v>
      </c>
    </row>
    <row r="388" spans="3:12" x14ac:dyDescent="0.25">
      <c r="C388" s="105">
        <v>175</v>
      </c>
      <c r="D388" s="107">
        <v>45688</v>
      </c>
      <c r="E388" s="38">
        <v>1</v>
      </c>
      <c r="F388" s="109" t="s">
        <v>135</v>
      </c>
      <c r="G388" s="38">
        <v>34</v>
      </c>
      <c r="H388" s="37"/>
    </row>
    <row r="389" spans="3:12" ht="15.75" thickBot="1" x14ac:dyDescent="0.3">
      <c r="C389" s="106"/>
      <c r="D389" s="108"/>
      <c r="E389" s="40">
        <v>12</v>
      </c>
      <c r="F389" s="110"/>
      <c r="G389" s="40"/>
      <c r="H389" s="39">
        <v>34</v>
      </c>
    </row>
    <row r="390" spans="3:12" x14ac:dyDescent="0.25">
      <c r="C390" s="105">
        <v>176</v>
      </c>
      <c r="D390" s="107">
        <v>45688</v>
      </c>
      <c r="E390" s="38">
        <v>1</v>
      </c>
      <c r="F390" s="109" t="s">
        <v>288</v>
      </c>
      <c r="G390" s="38">
        <v>212.9</v>
      </c>
      <c r="H390" s="37"/>
    </row>
    <row r="391" spans="3:12" ht="15.75" thickBot="1" x14ac:dyDescent="0.3">
      <c r="C391" s="106"/>
      <c r="D391" s="108"/>
      <c r="E391" s="40">
        <v>14</v>
      </c>
      <c r="F391" s="110"/>
      <c r="G391" s="40"/>
      <c r="H391" s="39">
        <v>212.9</v>
      </c>
    </row>
    <row r="392" spans="3:12" x14ac:dyDescent="0.25">
      <c r="C392" s="105">
        <v>178</v>
      </c>
      <c r="D392" s="107">
        <v>45688</v>
      </c>
      <c r="E392" s="38">
        <v>1</v>
      </c>
      <c r="F392" s="109" t="s">
        <v>134</v>
      </c>
      <c r="G392" s="38">
        <v>10.4</v>
      </c>
      <c r="H392" s="37"/>
    </row>
    <row r="393" spans="3:12" ht="15.75" thickBot="1" x14ac:dyDescent="0.3">
      <c r="C393" s="106"/>
      <c r="D393" s="108"/>
      <c r="E393" s="40">
        <v>7</v>
      </c>
      <c r="F393" s="110"/>
      <c r="G393" s="40"/>
      <c r="H393" s="39">
        <v>10.4</v>
      </c>
    </row>
    <row r="394" spans="3:12" x14ac:dyDescent="0.25">
      <c r="C394" s="111">
        <v>178</v>
      </c>
      <c r="D394" s="89">
        <v>45688</v>
      </c>
      <c r="E394" s="90">
        <v>1</v>
      </c>
      <c r="F394" s="111" t="s">
        <v>289</v>
      </c>
      <c r="G394" s="90">
        <v>150.06</v>
      </c>
      <c r="H394" s="88"/>
    </row>
    <row r="395" spans="3:12" ht="15.75" thickBot="1" x14ac:dyDescent="0.3">
      <c r="C395" s="112"/>
      <c r="D395" s="92"/>
      <c r="E395" s="92">
        <v>12</v>
      </c>
      <c r="F395" s="112"/>
      <c r="G395" s="92"/>
      <c r="H395" s="91">
        <v>150.06</v>
      </c>
      <c r="K395" s="113" t="s">
        <v>290</v>
      </c>
      <c r="L395" s="113"/>
    </row>
    <row r="396" spans="3:12" ht="15.75" thickBot="1" x14ac:dyDescent="0.3">
      <c r="C396" s="114" t="s">
        <v>122</v>
      </c>
      <c r="D396" s="115"/>
      <c r="E396" s="116"/>
      <c r="F396" s="93" t="s">
        <v>292</v>
      </c>
      <c r="G396" s="94">
        <f>SUM(G4:G395)</f>
        <v>67715.609999999986</v>
      </c>
      <c r="H396" s="94">
        <f>SUM(H4:H395)</f>
        <v>67715.609999999986</v>
      </c>
      <c r="K396" s="49">
        <f>'Libros mayores'!B188+'Libros mayores'!F188+'Libros mayores'!J188+'Libros mayores'!N188+'Libros mayores'!R188+'Libros mayores'!V188+'Libros mayores'!Z188+'Libros mayores'!AD188+'Libros mayores'!AH188+'Libros mayores'!AL188+'Libros mayores'!AP188+'Libros mayores'!AT188+'Libros mayores'!AX188+'Libros mayores'!BB188+'Libros mayores'!BF188</f>
        <v>67715.610000000015</v>
      </c>
      <c r="L396" s="49">
        <f>'Libros mayores'!C188+'Libros mayores'!G188+'Libros mayores'!K188+'Libros mayores'!O188+'Libros mayores'!S188+'Libros mayores'!W188+'Libros mayores'!AA188+'Libros mayores'!AE188+'Libros mayores'!AI188+'Libros mayores'!AM188+'Libros mayores'!AQ188+'Libros mayores'!AU188+'Libros mayores'!AY188+'Libros mayores'!BC188+'Libros mayores'!BG188</f>
        <v>67715.61</v>
      </c>
    </row>
    <row r="397" spans="3:12" ht="15.75" thickBot="1" x14ac:dyDescent="0.3">
      <c r="C397" s="117" t="s">
        <v>294</v>
      </c>
      <c r="D397" s="118"/>
      <c r="E397" s="118"/>
      <c r="F397" s="118"/>
      <c r="G397" s="118"/>
      <c r="H397" s="119"/>
    </row>
    <row r="398" spans="3:12" x14ac:dyDescent="0.25">
      <c r="C398" s="105">
        <v>179</v>
      </c>
      <c r="D398" s="107">
        <v>45689</v>
      </c>
      <c r="E398" s="38">
        <v>12</v>
      </c>
      <c r="F398" s="105" t="s">
        <v>131</v>
      </c>
      <c r="G398" s="38">
        <v>8.15</v>
      </c>
      <c r="H398" s="37"/>
    </row>
    <row r="399" spans="3:12" ht="15.75" thickBot="1" x14ac:dyDescent="0.3">
      <c r="C399" s="106"/>
      <c r="D399" s="108"/>
      <c r="E399" s="40">
        <v>1</v>
      </c>
      <c r="F399" s="106"/>
      <c r="G399" s="40"/>
      <c r="H399" s="39">
        <v>8.15</v>
      </c>
    </row>
    <row r="400" spans="3:12" x14ac:dyDescent="0.25">
      <c r="C400" s="105">
        <v>180</v>
      </c>
      <c r="D400" s="107">
        <v>45689</v>
      </c>
      <c r="E400" s="38">
        <v>1</v>
      </c>
      <c r="F400" s="109" t="s">
        <v>296</v>
      </c>
      <c r="G400" s="38">
        <v>14.83</v>
      </c>
      <c r="H400" s="37"/>
    </row>
    <row r="401" spans="3:8" ht="15.75" thickBot="1" x14ac:dyDescent="0.3">
      <c r="C401" s="106"/>
      <c r="D401" s="108"/>
      <c r="E401" s="40">
        <v>12</v>
      </c>
      <c r="F401" s="110"/>
      <c r="G401" s="40"/>
      <c r="H401" s="39">
        <v>14.83</v>
      </c>
    </row>
    <row r="402" spans="3:8" x14ac:dyDescent="0.25">
      <c r="C402" s="105">
        <v>181</v>
      </c>
      <c r="D402" s="107">
        <v>45689</v>
      </c>
      <c r="E402" s="38">
        <v>4</v>
      </c>
      <c r="F402" s="109" t="s">
        <v>133</v>
      </c>
      <c r="G402" s="38">
        <v>75</v>
      </c>
      <c r="H402" s="37"/>
    </row>
    <row r="403" spans="3:8" ht="15.75" thickBot="1" x14ac:dyDescent="0.3">
      <c r="C403" s="106"/>
      <c r="D403" s="108"/>
      <c r="E403" s="40">
        <v>1</v>
      </c>
      <c r="F403" s="110"/>
      <c r="G403" s="40"/>
      <c r="H403" s="39">
        <v>75</v>
      </c>
    </row>
    <row r="404" spans="3:8" x14ac:dyDescent="0.25">
      <c r="C404" s="105">
        <v>182</v>
      </c>
      <c r="D404" s="107">
        <v>45689</v>
      </c>
      <c r="E404" s="38">
        <v>4</v>
      </c>
      <c r="F404" s="109" t="s">
        <v>261</v>
      </c>
      <c r="G404" s="38">
        <v>110</v>
      </c>
      <c r="H404" s="37"/>
    </row>
    <row r="405" spans="3:8" ht="15.75" thickBot="1" x14ac:dyDescent="0.3">
      <c r="C405" s="106"/>
      <c r="D405" s="108"/>
      <c r="E405" s="40">
        <v>1</v>
      </c>
      <c r="F405" s="110"/>
      <c r="G405" s="40"/>
      <c r="H405" s="39">
        <v>110</v>
      </c>
    </row>
    <row r="406" spans="3:8" x14ac:dyDescent="0.25">
      <c r="C406" s="105">
        <v>183</v>
      </c>
      <c r="D406" s="107">
        <v>45689</v>
      </c>
      <c r="E406" s="38">
        <v>1</v>
      </c>
      <c r="F406" s="109" t="s">
        <v>30</v>
      </c>
      <c r="G406" s="38">
        <v>8</v>
      </c>
      <c r="H406" s="37"/>
    </row>
    <row r="407" spans="3:8" ht="15.75" thickBot="1" x14ac:dyDescent="0.3">
      <c r="C407" s="106"/>
      <c r="D407" s="108"/>
      <c r="E407" s="40">
        <v>5</v>
      </c>
      <c r="F407" s="110"/>
      <c r="G407" s="40"/>
      <c r="H407" s="39">
        <v>8</v>
      </c>
    </row>
    <row r="408" spans="3:8" x14ac:dyDescent="0.25">
      <c r="C408" s="105">
        <v>184</v>
      </c>
      <c r="D408" s="107">
        <v>45691</v>
      </c>
      <c r="E408" s="38">
        <v>4</v>
      </c>
      <c r="F408" s="109" t="s">
        <v>298</v>
      </c>
      <c r="G408" s="38">
        <v>300</v>
      </c>
      <c r="H408" s="37"/>
    </row>
    <row r="409" spans="3:8" ht="15.75" thickBot="1" x14ac:dyDescent="0.3">
      <c r="C409" s="106"/>
      <c r="D409" s="108"/>
      <c r="E409" s="40">
        <v>1</v>
      </c>
      <c r="F409" s="110"/>
      <c r="G409" s="40"/>
      <c r="H409" s="39">
        <v>300</v>
      </c>
    </row>
    <row r="410" spans="3:8" x14ac:dyDescent="0.25">
      <c r="C410" s="105">
        <v>185</v>
      </c>
      <c r="D410" s="107">
        <v>45691</v>
      </c>
      <c r="E410" s="38">
        <v>4</v>
      </c>
      <c r="F410" s="109" t="s">
        <v>237</v>
      </c>
      <c r="G410" s="38">
        <v>110</v>
      </c>
      <c r="H410" s="37"/>
    </row>
    <row r="411" spans="3:8" ht="15.75" thickBot="1" x14ac:dyDescent="0.3">
      <c r="C411" s="106"/>
      <c r="D411" s="108"/>
      <c r="E411" s="40">
        <v>1</v>
      </c>
      <c r="F411" s="110"/>
      <c r="G411" s="40"/>
      <c r="H411" s="39">
        <v>110</v>
      </c>
    </row>
    <row r="412" spans="3:8" x14ac:dyDescent="0.25">
      <c r="C412" s="105">
        <v>186</v>
      </c>
      <c r="D412" s="107">
        <v>45691</v>
      </c>
      <c r="E412" s="38">
        <v>2</v>
      </c>
      <c r="F412" s="109" t="s">
        <v>7</v>
      </c>
      <c r="G412" s="38">
        <v>35</v>
      </c>
      <c r="H412" s="37"/>
    </row>
    <row r="413" spans="3:8" ht="15.75" thickBot="1" x14ac:dyDescent="0.3">
      <c r="C413" s="106"/>
      <c r="D413" s="108"/>
      <c r="E413" s="40">
        <v>1</v>
      </c>
      <c r="F413" s="110"/>
      <c r="G413" s="40"/>
      <c r="H413" s="39">
        <v>35</v>
      </c>
    </row>
    <row r="414" spans="3:8" x14ac:dyDescent="0.25">
      <c r="C414" s="105">
        <v>187</v>
      </c>
      <c r="D414" s="107">
        <v>45691</v>
      </c>
      <c r="E414" s="38">
        <v>4</v>
      </c>
      <c r="F414" s="109" t="s">
        <v>300</v>
      </c>
      <c r="G414" s="38">
        <v>200</v>
      </c>
      <c r="H414" s="37"/>
    </row>
    <row r="415" spans="3:8" ht="15.75" thickBot="1" x14ac:dyDescent="0.3">
      <c r="C415" s="106"/>
      <c r="D415" s="108"/>
      <c r="E415" s="40">
        <v>1</v>
      </c>
      <c r="F415" s="110"/>
      <c r="G415" s="40"/>
      <c r="H415" s="39">
        <v>200</v>
      </c>
    </row>
    <row r="416" spans="3:8" x14ac:dyDescent="0.25">
      <c r="C416" s="105">
        <v>188</v>
      </c>
      <c r="D416" s="107">
        <v>45691</v>
      </c>
      <c r="E416" s="38">
        <v>1</v>
      </c>
      <c r="F416" s="109" t="s">
        <v>30</v>
      </c>
      <c r="G416" s="38">
        <v>4</v>
      </c>
      <c r="H416" s="37"/>
    </row>
    <row r="417" spans="3:8" ht="15.75" thickBot="1" x14ac:dyDescent="0.3">
      <c r="C417" s="106"/>
      <c r="D417" s="108"/>
      <c r="E417" s="40">
        <v>5</v>
      </c>
      <c r="F417" s="110"/>
      <c r="G417" s="40"/>
      <c r="H417" s="39">
        <v>4</v>
      </c>
    </row>
    <row r="418" spans="3:8" x14ac:dyDescent="0.25">
      <c r="C418" s="105">
        <v>189</v>
      </c>
      <c r="D418" s="107">
        <v>45691</v>
      </c>
      <c r="E418" s="38">
        <v>1</v>
      </c>
      <c r="F418" s="109" t="s">
        <v>301</v>
      </c>
      <c r="G418" s="38">
        <v>53</v>
      </c>
      <c r="H418" s="37"/>
    </row>
    <row r="419" spans="3:8" ht="15.75" thickBot="1" x14ac:dyDescent="0.3">
      <c r="C419" s="106"/>
      <c r="D419" s="108"/>
      <c r="E419" s="40">
        <v>12</v>
      </c>
      <c r="F419" s="110"/>
      <c r="G419" s="40"/>
      <c r="H419" s="39">
        <v>53</v>
      </c>
    </row>
    <row r="420" spans="3:8" x14ac:dyDescent="0.25">
      <c r="C420" s="105">
        <v>190</v>
      </c>
      <c r="D420" s="107">
        <v>45691</v>
      </c>
      <c r="E420" s="38">
        <v>4</v>
      </c>
      <c r="F420" s="109" t="s">
        <v>302</v>
      </c>
      <c r="G420" s="38">
        <v>200</v>
      </c>
      <c r="H420" s="37"/>
    </row>
    <row r="421" spans="3:8" ht="15.75" thickBot="1" x14ac:dyDescent="0.3">
      <c r="C421" s="106"/>
      <c r="D421" s="108"/>
      <c r="E421" s="40">
        <v>1</v>
      </c>
      <c r="F421" s="110"/>
      <c r="G421" s="40"/>
      <c r="H421" s="39">
        <v>200</v>
      </c>
    </row>
    <row r="422" spans="3:8" x14ac:dyDescent="0.25">
      <c r="C422" s="105">
        <v>191</v>
      </c>
      <c r="D422" s="107">
        <v>45691</v>
      </c>
      <c r="E422" s="38">
        <v>4</v>
      </c>
      <c r="F422" s="109" t="s">
        <v>144</v>
      </c>
      <c r="G422" s="38">
        <v>100</v>
      </c>
      <c r="H422" s="37"/>
    </row>
    <row r="423" spans="3:8" ht="15.75" thickBot="1" x14ac:dyDescent="0.3">
      <c r="C423" s="106"/>
      <c r="D423" s="108"/>
      <c r="E423" s="40">
        <v>1</v>
      </c>
      <c r="F423" s="110"/>
      <c r="G423" s="40"/>
      <c r="H423" s="39">
        <v>100</v>
      </c>
    </row>
    <row r="424" spans="3:8" x14ac:dyDescent="0.25">
      <c r="C424" s="105">
        <v>192</v>
      </c>
      <c r="D424" s="107">
        <v>45691</v>
      </c>
      <c r="E424" s="38">
        <v>1</v>
      </c>
      <c r="F424" s="109" t="s">
        <v>30</v>
      </c>
      <c r="G424" s="38">
        <v>2</v>
      </c>
      <c r="H424" s="37"/>
    </row>
    <row r="425" spans="3:8" ht="15.75" thickBot="1" x14ac:dyDescent="0.3">
      <c r="C425" s="106"/>
      <c r="D425" s="108"/>
      <c r="E425" s="40">
        <v>5</v>
      </c>
      <c r="F425" s="110"/>
      <c r="G425" s="40"/>
      <c r="H425" s="39">
        <v>2</v>
      </c>
    </row>
    <row r="426" spans="3:8" x14ac:dyDescent="0.25">
      <c r="C426" s="105">
        <v>193</v>
      </c>
      <c r="D426" s="107">
        <v>45691</v>
      </c>
      <c r="E426" s="38">
        <v>1</v>
      </c>
      <c r="F426" s="109" t="s">
        <v>135</v>
      </c>
      <c r="G426" s="38">
        <v>13</v>
      </c>
      <c r="H426" s="37"/>
    </row>
    <row r="427" spans="3:8" ht="15.75" thickBot="1" x14ac:dyDescent="0.3">
      <c r="C427" s="106"/>
      <c r="D427" s="108"/>
      <c r="E427" s="40">
        <v>12</v>
      </c>
      <c r="F427" s="110"/>
      <c r="G427" s="40"/>
      <c r="H427" s="39">
        <v>13</v>
      </c>
    </row>
    <row r="428" spans="3:8" x14ac:dyDescent="0.25">
      <c r="C428" s="105">
        <v>194</v>
      </c>
      <c r="D428" s="107">
        <v>45692</v>
      </c>
      <c r="E428" s="38">
        <v>4</v>
      </c>
      <c r="F428" s="109" t="s">
        <v>198</v>
      </c>
      <c r="G428" s="38">
        <v>100</v>
      </c>
      <c r="H428" s="37"/>
    </row>
    <row r="429" spans="3:8" ht="15.75" thickBot="1" x14ac:dyDescent="0.3">
      <c r="C429" s="106"/>
      <c r="D429" s="108"/>
      <c r="E429" s="40">
        <v>1</v>
      </c>
      <c r="F429" s="110"/>
      <c r="G429" s="40"/>
      <c r="H429" s="39">
        <v>100</v>
      </c>
    </row>
    <row r="430" spans="3:8" x14ac:dyDescent="0.25">
      <c r="C430" s="105">
        <v>195</v>
      </c>
      <c r="D430" s="107">
        <v>45692</v>
      </c>
      <c r="E430" s="38">
        <v>4</v>
      </c>
      <c r="F430" s="109" t="s">
        <v>179</v>
      </c>
      <c r="G430" s="38">
        <v>110</v>
      </c>
      <c r="H430" s="37"/>
    </row>
    <row r="431" spans="3:8" ht="15.75" thickBot="1" x14ac:dyDescent="0.3">
      <c r="C431" s="106"/>
      <c r="D431" s="108"/>
      <c r="E431" s="40">
        <v>1</v>
      </c>
      <c r="F431" s="110"/>
      <c r="G431" s="40"/>
      <c r="H431" s="39">
        <v>110</v>
      </c>
    </row>
    <row r="432" spans="3:8" x14ac:dyDescent="0.25">
      <c r="C432" s="105">
        <v>196</v>
      </c>
      <c r="D432" s="107">
        <v>45692</v>
      </c>
      <c r="E432" s="38">
        <v>4</v>
      </c>
      <c r="F432" s="109" t="s">
        <v>303</v>
      </c>
      <c r="G432" s="38">
        <v>220</v>
      </c>
      <c r="H432" s="37"/>
    </row>
    <row r="433" spans="3:8" ht="15.75" thickBot="1" x14ac:dyDescent="0.3">
      <c r="C433" s="106"/>
      <c r="D433" s="108"/>
      <c r="E433" s="40">
        <v>1</v>
      </c>
      <c r="F433" s="110"/>
      <c r="G433" s="40"/>
      <c r="H433" s="39">
        <v>220</v>
      </c>
    </row>
    <row r="434" spans="3:8" x14ac:dyDescent="0.25">
      <c r="C434" s="105">
        <v>197</v>
      </c>
      <c r="D434" s="107">
        <v>45692</v>
      </c>
      <c r="E434" s="38">
        <v>4</v>
      </c>
      <c r="F434" s="109" t="s">
        <v>261</v>
      </c>
      <c r="G434" s="38">
        <v>110</v>
      </c>
      <c r="H434" s="37"/>
    </row>
    <row r="435" spans="3:8" ht="15.75" thickBot="1" x14ac:dyDescent="0.3">
      <c r="C435" s="106"/>
      <c r="D435" s="108"/>
      <c r="E435" s="40">
        <v>1</v>
      </c>
      <c r="F435" s="110"/>
      <c r="G435" s="40"/>
      <c r="H435" s="39">
        <v>110</v>
      </c>
    </row>
    <row r="436" spans="3:8" x14ac:dyDescent="0.25">
      <c r="C436" s="105">
        <v>198</v>
      </c>
      <c r="D436" s="107">
        <v>45692</v>
      </c>
      <c r="E436" s="38">
        <v>1</v>
      </c>
      <c r="F436" s="109" t="s">
        <v>30</v>
      </c>
      <c r="G436" s="38">
        <v>6</v>
      </c>
      <c r="H436" s="37"/>
    </row>
    <row r="437" spans="3:8" ht="15.75" thickBot="1" x14ac:dyDescent="0.3">
      <c r="C437" s="106"/>
      <c r="D437" s="108"/>
      <c r="E437" s="40">
        <v>5</v>
      </c>
      <c r="F437" s="110"/>
      <c r="G437" s="40"/>
      <c r="H437" s="39">
        <v>6</v>
      </c>
    </row>
    <row r="438" spans="3:8" x14ac:dyDescent="0.25">
      <c r="C438" s="105">
        <v>199</v>
      </c>
      <c r="D438" s="107">
        <v>45692</v>
      </c>
      <c r="E438" s="38">
        <v>1</v>
      </c>
      <c r="F438" s="109" t="s">
        <v>134</v>
      </c>
      <c r="G438" s="38">
        <v>30.5</v>
      </c>
      <c r="H438" s="37"/>
    </row>
    <row r="439" spans="3:8" ht="15.75" thickBot="1" x14ac:dyDescent="0.3">
      <c r="C439" s="106"/>
      <c r="D439" s="108"/>
      <c r="E439" s="40">
        <v>7</v>
      </c>
      <c r="F439" s="110"/>
      <c r="G439" s="40"/>
      <c r="H439" s="39">
        <v>30.5</v>
      </c>
    </row>
    <row r="440" spans="3:8" x14ac:dyDescent="0.25">
      <c r="C440" s="105">
        <v>200</v>
      </c>
      <c r="D440" s="107">
        <v>45692</v>
      </c>
      <c r="E440" s="38">
        <v>1</v>
      </c>
      <c r="F440" s="109" t="s">
        <v>305</v>
      </c>
      <c r="G440" s="38">
        <v>44</v>
      </c>
      <c r="H440" s="37"/>
    </row>
    <row r="441" spans="3:8" ht="15.75" thickBot="1" x14ac:dyDescent="0.3">
      <c r="C441" s="106"/>
      <c r="D441" s="108"/>
      <c r="E441" s="40">
        <v>11</v>
      </c>
      <c r="F441" s="110"/>
      <c r="G441" s="40"/>
      <c r="H441" s="39">
        <v>44</v>
      </c>
    </row>
    <row r="442" spans="3:8" x14ac:dyDescent="0.25">
      <c r="C442" s="105">
        <v>201</v>
      </c>
      <c r="D442" s="107">
        <v>45692</v>
      </c>
      <c r="E442" s="38">
        <v>4</v>
      </c>
      <c r="F442" s="109" t="s">
        <v>306</v>
      </c>
      <c r="G442" s="38">
        <v>285</v>
      </c>
      <c r="H442" s="37"/>
    </row>
    <row r="443" spans="3:8" ht="15.75" thickBot="1" x14ac:dyDescent="0.3">
      <c r="C443" s="106"/>
      <c r="D443" s="108"/>
      <c r="E443" s="40">
        <v>1</v>
      </c>
      <c r="F443" s="110"/>
      <c r="G443" s="40"/>
      <c r="H443" s="39">
        <v>285</v>
      </c>
    </row>
    <row r="444" spans="3:8" x14ac:dyDescent="0.25">
      <c r="C444" s="105">
        <v>202</v>
      </c>
      <c r="D444" s="107">
        <v>45692</v>
      </c>
      <c r="E444" s="38">
        <v>4</v>
      </c>
      <c r="F444" s="109" t="s">
        <v>198</v>
      </c>
      <c r="G444" s="38">
        <v>100</v>
      </c>
      <c r="H444" s="37"/>
    </row>
    <row r="445" spans="3:8" ht="15.75" thickBot="1" x14ac:dyDescent="0.3">
      <c r="C445" s="106"/>
      <c r="D445" s="108"/>
      <c r="E445" s="40">
        <v>1</v>
      </c>
      <c r="F445" s="110"/>
      <c r="G445" s="40"/>
      <c r="H445" s="39">
        <v>100</v>
      </c>
    </row>
    <row r="446" spans="3:8" x14ac:dyDescent="0.25">
      <c r="C446" s="105">
        <v>203</v>
      </c>
      <c r="D446" s="107">
        <v>45692</v>
      </c>
      <c r="E446" s="38">
        <v>1</v>
      </c>
      <c r="F446" s="109" t="s">
        <v>30</v>
      </c>
      <c r="G446" s="38">
        <v>8</v>
      </c>
      <c r="H446" s="37"/>
    </row>
    <row r="447" spans="3:8" ht="15.75" thickBot="1" x14ac:dyDescent="0.3">
      <c r="C447" s="106"/>
      <c r="D447" s="108"/>
      <c r="E447" s="40">
        <v>5</v>
      </c>
      <c r="F447" s="110"/>
      <c r="G447" s="40"/>
      <c r="H447" s="39">
        <v>8</v>
      </c>
    </row>
    <row r="448" spans="3:8" x14ac:dyDescent="0.25">
      <c r="C448" s="105">
        <v>204</v>
      </c>
      <c r="D448" s="107">
        <v>45692</v>
      </c>
      <c r="E448" s="38">
        <v>3</v>
      </c>
      <c r="F448" s="109" t="s">
        <v>307</v>
      </c>
      <c r="G448" s="38">
        <v>642</v>
      </c>
      <c r="H448" s="37"/>
    </row>
    <row r="449" spans="3:8" ht="15.75" thickBot="1" x14ac:dyDescent="0.3">
      <c r="C449" s="106"/>
      <c r="D449" s="108"/>
      <c r="E449" s="40">
        <v>1</v>
      </c>
      <c r="F449" s="110"/>
      <c r="G449" s="40"/>
      <c r="H449" s="39">
        <v>642</v>
      </c>
    </row>
    <row r="450" spans="3:8" x14ac:dyDescent="0.25">
      <c r="C450" s="105">
        <v>205</v>
      </c>
      <c r="D450" s="107">
        <v>45692</v>
      </c>
      <c r="E450" s="38">
        <v>4</v>
      </c>
      <c r="F450" s="109" t="s">
        <v>144</v>
      </c>
      <c r="G450" s="38">
        <v>100</v>
      </c>
      <c r="H450" s="37"/>
    </row>
    <row r="451" spans="3:8" ht="15.75" thickBot="1" x14ac:dyDescent="0.3">
      <c r="C451" s="106"/>
      <c r="D451" s="108"/>
      <c r="E451" s="40">
        <v>1</v>
      </c>
      <c r="F451" s="110"/>
      <c r="G451" s="40"/>
      <c r="H451" s="39">
        <v>100</v>
      </c>
    </row>
    <row r="452" spans="3:8" x14ac:dyDescent="0.25">
      <c r="C452" s="105">
        <v>206</v>
      </c>
      <c r="D452" s="107">
        <v>45693</v>
      </c>
      <c r="E452" s="38">
        <v>4</v>
      </c>
      <c r="F452" s="109" t="s">
        <v>308</v>
      </c>
      <c r="G452" s="38">
        <v>260</v>
      </c>
      <c r="H452" s="37"/>
    </row>
    <row r="453" spans="3:8" ht="15.75" thickBot="1" x14ac:dyDescent="0.3">
      <c r="C453" s="106"/>
      <c r="D453" s="108"/>
      <c r="E453" s="40">
        <v>1</v>
      </c>
      <c r="F453" s="110"/>
      <c r="G453" s="40"/>
      <c r="H453" s="39">
        <v>260</v>
      </c>
    </row>
    <row r="454" spans="3:8" x14ac:dyDescent="0.25">
      <c r="C454" s="105">
        <v>207</v>
      </c>
      <c r="D454" s="107">
        <v>45693</v>
      </c>
      <c r="E454" s="38">
        <v>1</v>
      </c>
      <c r="F454" s="109" t="s">
        <v>309</v>
      </c>
      <c r="G454" s="38">
        <v>14</v>
      </c>
      <c r="H454" s="37"/>
    </row>
    <row r="455" spans="3:8" ht="15.75" thickBot="1" x14ac:dyDescent="0.3">
      <c r="C455" s="106"/>
      <c r="D455" s="108"/>
      <c r="E455" s="40">
        <v>11</v>
      </c>
      <c r="F455" s="110"/>
      <c r="G455" s="40"/>
      <c r="H455" s="39">
        <v>14</v>
      </c>
    </row>
    <row r="456" spans="3:8" x14ac:dyDescent="0.25">
      <c r="C456" s="105">
        <v>208</v>
      </c>
      <c r="D456" s="107">
        <v>45693</v>
      </c>
      <c r="E456" s="38">
        <v>1</v>
      </c>
      <c r="F456" s="109" t="s">
        <v>135</v>
      </c>
      <c r="G456" s="38">
        <v>30</v>
      </c>
      <c r="H456" s="37"/>
    </row>
    <row r="457" spans="3:8" ht="15.75" thickBot="1" x14ac:dyDescent="0.3">
      <c r="C457" s="106"/>
      <c r="D457" s="108"/>
      <c r="E457" s="40">
        <v>12</v>
      </c>
      <c r="F457" s="110"/>
      <c r="G457" s="40"/>
      <c r="H457" s="39">
        <v>30</v>
      </c>
    </row>
    <row r="458" spans="3:8" x14ac:dyDescent="0.25">
      <c r="C458" s="105">
        <v>209</v>
      </c>
      <c r="D458" s="107">
        <v>45693</v>
      </c>
      <c r="E458" s="38">
        <v>1</v>
      </c>
      <c r="F458" s="109" t="s">
        <v>30</v>
      </c>
      <c r="G458" s="38">
        <v>5.5</v>
      </c>
      <c r="H458" s="37"/>
    </row>
    <row r="459" spans="3:8" ht="15.75" thickBot="1" x14ac:dyDescent="0.3">
      <c r="C459" s="106"/>
      <c r="D459" s="108"/>
      <c r="E459" s="40">
        <v>5</v>
      </c>
      <c r="F459" s="110"/>
      <c r="G459" s="40"/>
      <c r="H459" s="39">
        <v>5.5</v>
      </c>
    </row>
    <row r="460" spans="3:8" x14ac:dyDescent="0.25">
      <c r="C460" s="105">
        <v>210</v>
      </c>
      <c r="D460" s="107">
        <v>45693</v>
      </c>
      <c r="E460" s="38">
        <v>4</v>
      </c>
      <c r="F460" s="109" t="s">
        <v>310</v>
      </c>
      <c r="G460" s="38">
        <v>200</v>
      </c>
      <c r="H460" s="37"/>
    </row>
    <row r="461" spans="3:8" ht="15.75" thickBot="1" x14ac:dyDescent="0.3">
      <c r="C461" s="106"/>
      <c r="D461" s="108"/>
      <c r="E461" s="40">
        <v>1</v>
      </c>
      <c r="F461" s="110"/>
      <c r="G461" s="40"/>
      <c r="H461" s="39">
        <v>200</v>
      </c>
    </row>
    <row r="462" spans="3:8" x14ac:dyDescent="0.25">
      <c r="C462" s="105">
        <v>211</v>
      </c>
      <c r="D462" s="107">
        <v>45693</v>
      </c>
      <c r="E462" s="38">
        <v>4</v>
      </c>
      <c r="F462" s="109" t="s">
        <v>311</v>
      </c>
      <c r="G462" s="38">
        <v>75</v>
      </c>
      <c r="H462" s="37"/>
    </row>
    <row r="463" spans="3:8" ht="15.75" thickBot="1" x14ac:dyDescent="0.3">
      <c r="C463" s="106"/>
      <c r="D463" s="108"/>
      <c r="E463" s="40">
        <v>1</v>
      </c>
      <c r="F463" s="110"/>
      <c r="G463" s="40"/>
      <c r="H463" s="39">
        <v>75</v>
      </c>
    </row>
    <row r="464" spans="3:8" x14ac:dyDescent="0.25">
      <c r="C464" s="105">
        <v>212</v>
      </c>
      <c r="D464" s="107">
        <v>45693</v>
      </c>
      <c r="E464" s="38">
        <v>1</v>
      </c>
      <c r="F464" s="109" t="s">
        <v>135</v>
      </c>
      <c r="G464" s="38">
        <v>13</v>
      </c>
      <c r="H464" s="37"/>
    </row>
    <row r="465" spans="3:8" ht="15.75" thickBot="1" x14ac:dyDescent="0.3">
      <c r="C465" s="106"/>
      <c r="D465" s="108"/>
      <c r="E465" s="40">
        <v>12</v>
      </c>
      <c r="F465" s="110"/>
      <c r="G465" s="40"/>
      <c r="H465" s="39">
        <v>13</v>
      </c>
    </row>
    <row r="466" spans="3:8" x14ac:dyDescent="0.25">
      <c r="C466" s="105">
        <v>213</v>
      </c>
      <c r="D466" s="107">
        <v>45693</v>
      </c>
      <c r="E466" s="38">
        <v>1</v>
      </c>
      <c r="F466" s="109" t="s">
        <v>30</v>
      </c>
      <c r="G466" s="38">
        <v>4</v>
      </c>
      <c r="H466" s="37"/>
    </row>
    <row r="467" spans="3:8" ht="15.75" thickBot="1" x14ac:dyDescent="0.3">
      <c r="C467" s="106"/>
      <c r="D467" s="108"/>
      <c r="E467" s="40">
        <v>5</v>
      </c>
      <c r="F467" s="110"/>
      <c r="G467" s="40"/>
      <c r="H467" s="39">
        <v>4</v>
      </c>
    </row>
    <row r="468" spans="3:8" x14ac:dyDescent="0.25">
      <c r="C468" s="105">
        <v>214</v>
      </c>
      <c r="D468" s="107">
        <v>45694</v>
      </c>
      <c r="E468" s="38">
        <v>4</v>
      </c>
      <c r="F468" s="109" t="s">
        <v>237</v>
      </c>
      <c r="G468" s="38">
        <v>110</v>
      </c>
      <c r="H468" s="37"/>
    </row>
    <row r="469" spans="3:8" ht="15.75" thickBot="1" x14ac:dyDescent="0.3">
      <c r="C469" s="106"/>
      <c r="D469" s="108"/>
      <c r="E469" s="40">
        <v>1</v>
      </c>
      <c r="F469" s="110"/>
      <c r="G469" s="40"/>
      <c r="H469" s="39">
        <v>110</v>
      </c>
    </row>
    <row r="470" spans="3:8" x14ac:dyDescent="0.25">
      <c r="C470" s="105">
        <v>215</v>
      </c>
      <c r="D470" s="107">
        <v>45694</v>
      </c>
      <c r="E470" s="38">
        <v>5</v>
      </c>
      <c r="F470" s="109" t="s">
        <v>239</v>
      </c>
      <c r="G470" s="38">
        <v>5</v>
      </c>
      <c r="H470" s="37"/>
    </row>
    <row r="471" spans="3:8" ht="15.75" thickBot="1" x14ac:dyDescent="0.3">
      <c r="C471" s="106"/>
      <c r="D471" s="108"/>
      <c r="E471" s="40">
        <v>1</v>
      </c>
      <c r="F471" s="110"/>
      <c r="G471" s="40"/>
      <c r="H471" s="39">
        <v>5</v>
      </c>
    </row>
    <row r="472" spans="3:8" x14ac:dyDescent="0.25">
      <c r="C472" s="105">
        <v>216</v>
      </c>
      <c r="D472" s="107">
        <v>45694</v>
      </c>
      <c r="E472" s="38">
        <v>4</v>
      </c>
      <c r="F472" s="109" t="s">
        <v>133</v>
      </c>
      <c r="G472" s="38">
        <v>75</v>
      </c>
      <c r="H472" s="37"/>
    </row>
    <row r="473" spans="3:8" ht="15.75" thickBot="1" x14ac:dyDescent="0.3">
      <c r="C473" s="106"/>
      <c r="D473" s="108"/>
      <c r="E473" s="40">
        <v>1</v>
      </c>
      <c r="F473" s="110"/>
      <c r="G473" s="40"/>
      <c r="H473" s="39">
        <v>75</v>
      </c>
    </row>
    <row r="474" spans="3:8" x14ac:dyDescent="0.25">
      <c r="C474" s="105">
        <v>217</v>
      </c>
      <c r="D474" s="107">
        <v>45694</v>
      </c>
      <c r="E474" s="38">
        <v>4</v>
      </c>
      <c r="F474" s="109" t="s">
        <v>225</v>
      </c>
      <c r="G474" s="38">
        <v>150</v>
      </c>
      <c r="H474" s="37"/>
    </row>
    <row r="475" spans="3:8" ht="15.75" thickBot="1" x14ac:dyDescent="0.3">
      <c r="C475" s="106"/>
      <c r="D475" s="108"/>
      <c r="E475" s="40">
        <v>1</v>
      </c>
      <c r="F475" s="110"/>
      <c r="G475" s="40"/>
      <c r="H475" s="39">
        <v>150</v>
      </c>
    </row>
    <row r="476" spans="3:8" x14ac:dyDescent="0.25">
      <c r="C476" s="105">
        <v>218</v>
      </c>
      <c r="D476" s="107">
        <v>45694</v>
      </c>
      <c r="E476" s="38">
        <v>4</v>
      </c>
      <c r="F476" s="109" t="s">
        <v>312</v>
      </c>
      <c r="G476" s="38">
        <v>150</v>
      </c>
      <c r="H476" s="37"/>
    </row>
    <row r="477" spans="3:8" ht="15.75" thickBot="1" x14ac:dyDescent="0.3">
      <c r="C477" s="106"/>
      <c r="D477" s="108"/>
      <c r="E477" s="40">
        <v>1</v>
      </c>
      <c r="F477" s="110"/>
      <c r="G477" s="40"/>
      <c r="H477" s="39">
        <v>150</v>
      </c>
    </row>
    <row r="478" spans="3:8" x14ac:dyDescent="0.25">
      <c r="C478" s="105">
        <v>219</v>
      </c>
      <c r="D478" s="107">
        <v>45694</v>
      </c>
      <c r="E478" s="38">
        <v>1</v>
      </c>
      <c r="F478" s="109" t="s">
        <v>140</v>
      </c>
      <c r="G478" s="38">
        <v>231.5</v>
      </c>
      <c r="H478" s="37"/>
    </row>
    <row r="479" spans="3:8" ht="15.75" thickBot="1" x14ac:dyDescent="0.3">
      <c r="C479" s="106"/>
      <c r="D479" s="108"/>
      <c r="E479" s="40">
        <v>7</v>
      </c>
      <c r="F479" s="110"/>
      <c r="G479" s="40"/>
      <c r="H479" s="39">
        <v>231.5</v>
      </c>
    </row>
    <row r="480" spans="3:8" x14ac:dyDescent="0.25">
      <c r="C480" s="105">
        <v>220</v>
      </c>
      <c r="D480" s="107">
        <v>45694</v>
      </c>
      <c r="E480" s="38">
        <v>2</v>
      </c>
      <c r="F480" s="109" t="s">
        <v>7</v>
      </c>
      <c r="G480" s="38">
        <v>70</v>
      </c>
      <c r="H480" s="37"/>
    </row>
    <row r="481" spans="3:8" ht="15.75" thickBot="1" x14ac:dyDescent="0.3">
      <c r="C481" s="106"/>
      <c r="D481" s="108"/>
      <c r="E481" s="40">
        <v>1</v>
      </c>
      <c r="F481" s="110"/>
      <c r="G481" s="40"/>
      <c r="H481" s="39">
        <v>70</v>
      </c>
    </row>
    <row r="482" spans="3:8" x14ac:dyDescent="0.25">
      <c r="C482" s="105">
        <v>221</v>
      </c>
      <c r="D482" s="107">
        <v>45694</v>
      </c>
      <c r="E482" s="38">
        <v>4</v>
      </c>
      <c r="F482" s="109" t="s">
        <v>311</v>
      </c>
      <c r="G482" s="38">
        <v>75</v>
      </c>
      <c r="H482" s="37"/>
    </row>
    <row r="483" spans="3:8" ht="15.75" thickBot="1" x14ac:dyDescent="0.3">
      <c r="C483" s="106"/>
      <c r="D483" s="108"/>
      <c r="E483" s="40">
        <v>1</v>
      </c>
      <c r="F483" s="110"/>
      <c r="G483" s="40"/>
      <c r="H483" s="39">
        <v>75</v>
      </c>
    </row>
    <row r="484" spans="3:8" x14ac:dyDescent="0.25">
      <c r="C484" s="105">
        <v>222</v>
      </c>
      <c r="D484" s="107">
        <v>45695</v>
      </c>
      <c r="E484" s="38">
        <v>4</v>
      </c>
      <c r="F484" s="109" t="s">
        <v>304</v>
      </c>
      <c r="G484" s="38">
        <v>182</v>
      </c>
      <c r="H484" s="37"/>
    </row>
    <row r="485" spans="3:8" ht="15.75" thickBot="1" x14ac:dyDescent="0.3">
      <c r="C485" s="106"/>
      <c r="D485" s="108"/>
      <c r="E485" s="40">
        <v>1</v>
      </c>
      <c r="F485" s="110"/>
      <c r="G485" s="40"/>
      <c r="H485" s="39">
        <v>182</v>
      </c>
    </row>
    <row r="486" spans="3:8" x14ac:dyDescent="0.25">
      <c r="C486" s="105">
        <v>223</v>
      </c>
      <c r="D486" s="107">
        <v>45695</v>
      </c>
      <c r="E486" s="38">
        <v>4</v>
      </c>
      <c r="F486" s="109" t="s">
        <v>318</v>
      </c>
      <c r="G486" s="38">
        <v>170</v>
      </c>
      <c r="H486" s="37"/>
    </row>
    <row r="487" spans="3:8" ht="15.75" thickBot="1" x14ac:dyDescent="0.3">
      <c r="C487" s="106"/>
      <c r="D487" s="108"/>
      <c r="E487" s="40">
        <v>1</v>
      </c>
      <c r="F487" s="110"/>
      <c r="G487" s="40"/>
      <c r="H487" s="39">
        <v>170</v>
      </c>
    </row>
    <row r="488" spans="3:8" x14ac:dyDescent="0.25">
      <c r="C488" s="105">
        <v>224</v>
      </c>
      <c r="D488" s="107">
        <v>45695</v>
      </c>
      <c r="E488" s="38">
        <v>4</v>
      </c>
      <c r="F488" s="109" t="s">
        <v>319</v>
      </c>
      <c r="G488" s="38">
        <v>130</v>
      </c>
      <c r="H488" s="37"/>
    </row>
    <row r="489" spans="3:8" ht="15.75" thickBot="1" x14ac:dyDescent="0.3">
      <c r="C489" s="106"/>
      <c r="D489" s="108"/>
      <c r="E489" s="40">
        <v>1</v>
      </c>
      <c r="F489" s="110"/>
      <c r="G489" s="40"/>
      <c r="H489" s="39">
        <v>130</v>
      </c>
    </row>
    <row r="490" spans="3:8" x14ac:dyDescent="0.25">
      <c r="C490" s="105">
        <v>225</v>
      </c>
      <c r="D490" s="107">
        <v>45695</v>
      </c>
      <c r="E490" s="38">
        <v>5</v>
      </c>
      <c r="F490" s="109" t="s">
        <v>239</v>
      </c>
      <c r="G490" s="38">
        <v>15</v>
      </c>
      <c r="H490" s="37"/>
    </row>
    <row r="491" spans="3:8" ht="15.75" thickBot="1" x14ac:dyDescent="0.3">
      <c r="C491" s="106"/>
      <c r="D491" s="108"/>
      <c r="E491" s="40">
        <v>1</v>
      </c>
      <c r="F491" s="110"/>
      <c r="G491" s="40"/>
      <c r="H491" s="39">
        <v>15</v>
      </c>
    </row>
    <row r="492" spans="3:8" x14ac:dyDescent="0.25">
      <c r="C492" s="105">
        <v>226</v>
      </c>
      <c r="D492" s="107">
        <v>45695</v>
      </c>
      <c r="E492" s="38">
        <v>1</v>
      </c>
      <c r="F492" s="109" t="s">
        <v>30</v>
      </c>
      <c r="G492" s="38">
        <v>12.6</v>
      </c>
      <c r="H492" s="37"/>
    </row>
    <row r="493" spans="3:8" ht="15.75" thickBot="1" x14ac:dyDescent="0.3">
      <c r="C493" s="106"/>
      <c r="D493" s="108"/>
      <c r="E493" s="40">
        <v>5</v>
      </c>
      <c r="F493" s="110"/>
      <c r="G493" s="40"/>
      <c r="H493" s="39">
        <v>12.6</v>
      </c>
    </row>
    <row r="494" spans="3:8" x14ac:dyDescent="0.25">
      <c r="C494" s="105">
        <v>227</v>
      </c>
      <c r="D494" s="107">
        <v>45695</v>
      </c>
      <c r="E494" s="38">
        <v>4</v>
      </c>
      <c r="F494" s="109" t="s">
        <v>311</v>
      </c>
      <c r="G494" s="38">
        <v>75</v>
      </c>
      <c r="H494" s="37"/>
    </row>
    <row r="495" spans="3:8" ht="15.75" thickBot="1" x14ac:dyDescent="0.3">
      <c r="C495" s="106"/>
      <c r="D495" s="108"/>
      <c r="E495" s="40">
        <v>1</v>
      </c>
      <c r="F495" s="110"/>
      <c r="G495" s="40"/>
      <c r="H495" s="39">
        <v>75</v>
      </c>
    </row>
    <row r="496" spans="3:8" x14ac:dyDescent="0.25">
      <c r="C496" s="105">
        <v>228</v>
      </c>
      <c r="D496" s="107">
        <v>45695</v>
      </c>
      <c r="E496" s="38">
        <v>1</v>
      </c>
      <c r="F496" s="109" t="s">
        <v>223</v>
      </c>
      <c r="G496" s="38">
        <v>105</v>
      </c>
      <c r="H496" s="37"/>
    </row>
    <row r="497" spans="3:8" ht="15.75" thickBot="1" x14ac:dyDescent="0.3">
      <c r="C497" s="106"/>
      <c r="D497" s="108"/>
      <c r="E497" s="40">
        <v>11</v>
      </c>
      <c r="F497" s="110"/>
      <c r="G497" s="40"/>
      <c r="H497" s="39">
        <v>105</v>
      </c>
    </row>
    <row r="498" spans="3:8" x14ac:dyDescent="0.25">
      <c r="C498" s="105">
        <v>229</v>
      </c>
      <c r="D498" s="107">
        <v>45695</v>
      </c>
      <c r="E498" s="38">
        <v>1</v>
      </c>
      <c r="F498" s="109" t="s">
        <v>134</v>
      </c>
      <c r="G498" s="38">
        <v>8.5</v>
      </c>
      <c r="H498" s="37"/>
    </row>
    <row r="499" spans="3:8" ht="15.75" thickBot="1" x14ac:dyDescent="0.3">
      <c r="C499" s="106"/>
      <c r="D499" s="108"/>
      <c r="E499" s="40">
        <v>7</v>
      </c>
      <c r="F499" s="110"/>
      <c r="G499" s="40"/>
      <c r="H499" s="39">
        <v>8.5</v>
      </c>
    </row>
    <row r="500" spans="3:8" x14ac:dyDescent="0.25">
      <c r="C500" s="105">
        <v>230</v>
      </c>
      <c r="D500" s="107">
        <v>45696</v>
      </c>
      <c r="E500" s="38">
        <v>15</v>
      </c>
      <c r="F500" s="109" t="s">
        <v>320</v>
      </c>
      <c r="G500" s="38">
        <v>100</v>
      </c>
      <c r="H500" s="37"/>
    </row>
    <row r="501" spans="3:8" ht="15.75" thickBot="1" x14ac:dyDescent="0.3">
      <c r="C501" s="106"/>
      <c r="D501" s="108"/>
      <c r="E501" s="40">
        <v>1</v>
      </c>
      <c r="F501" s="110"/>
      <c r="G501" s="40"/>
      <c r="H501" s="39">
        <v>100</v>
      </c>
    </row>
    <row r="502" spans="3:8" x14ac:dyDescent="0.25">
      <c r="C502" s="105">
        <v>231</v>
      </c>
      <c r="D502" s="107">
        <v>45696</v>
      </c>
      <c r="E502" s="38">
        <v>1</v>
      </c>
      <c r="F502" s="109" t="s">
        <v>321</v>
      </c>
      <c r="G502" s="38">
        <v>61</v>
      </c>
      <c r="H502" s="37"/>
    </row>
    <row r="503" spans="3:8" ht="15.75" thickBot="1" x14ac:dyDescent="0.3">
      <c r="C503" s="106"/>
      <c r="D503" s="108"/>
      <c r="E503" s="40">
        <v>12</v>
      </c>
      <c r="F503" s="110"/>
      <c r="G503" s="40"/>
      <c r="H503" s="39">
        <v>61</v>
      </c>
    </row>
    <row r="504" spans="3:8" x14ac:dyDescent="0.25">
      <c r="C504" s="105">
        <v>232</v>
      </c>
      <c r="D504" s="107">
        <v>45696</v>
      </c>
      <c r="E504" s="38">
        <v>1</v>
      </c>
      <c r="F504" s="109" t="s">
        <v>322</v>
      </c>
      <c r="G504" s="38">
        <v>8</v>
      </c>
      <c r="H504" s="37"/>
    </row>
    <row r="505" spans="3:8" ht="15.75" thickBot="1" x14ac:dyDescent="0.3">
      <c r="C505" s="106"/>
      <c r="D505" s="108"/>
      <c r="E505" s="40">
        <v>12</v>
      </c>
      <c r="F505" s="110"/>
      <c r="G505" s="40"/>
      <c r="H505" s="39">
        <v>8</v>
      </c>
    </row>
    <row r="506" spans="3:8" x14ac:dyDescent="0.25">
      <c r="C506" s="105">
        <v>233</v>
      </c>
      <c r="D506" s="107">
        <v>45696</v>
      </c>
      <c r="E506" s="38">
        <v>1</v>
      </c>
      <c r="F506" s="109" t="s">
        <v>183</v>
      </c>
      <c r="G506" s="38">
        <v>10</v>
      </c>
      <c r="H506" s="37"/>
    </row>
    <row r="507" spans="3:8" ht="15.75" thickBot="1" x14ac:dyDescent="0.3">
      <c r="C507" s="106"/>
      <c r="D507" s="108"/>
      <c r="E507" s="40">
        <v>5</v>
      </c>
      <c r="F507" s="110"/>
      <c r="G507" s="40"/>
      <c r="H507" s="39">
        <v>10</v>
      </c>
    </row>
    <row r="508" spans="3:8" x14ac:dyDescent="0.25">
      <c r="C508" s="105">
        <v>234</v>
      </c>
      <c r="D508" s="107">
        <v>45696</v>
      </c>
      <c r="E508" s="38">
        <v>1</v>
      </c>
      <c r="F508" s="109" t="s">
        <v>323</v>
      </c>
      <c r="G508" s="38">
        <v>2000</v>
      </c>
      <c r="H508" s="37"/>
    </row>
    <row r="509" spans="3:8" ht="15.75" thickBot="1" x14ac:dyDescent="0.3">
      <c r="C509" s="106"/>
      <c r="D509" s="108"/>
      <c r="E509" s="40">
        <v>15</v>
      </c>
      <c r="F509" s="110"/>
      <c r="G509" s="40"/>
      <c r="H509" s="39">
        <v>2000</v>
      </c>
    </row>
    <row r="510" spans="3:8" x14ac:dyDescent="0.25">
      <c r="C510" s="105">
        <v>235</v>
      </c>
      <c r="D510" s="107">
        <v>45697</v>
      </c>
      <c r="E510" s="38">
        <v>4</v>
      </c>
      <c r="F510" s="109" t="s">
        <v>255</v>
      </c>
      <c r="G510" s="38">
        <v>110</v>
      </c>
      <c r="H510" s="37"/>
    </row>
    <row r="511" spans="3:8" ht="15.75" thickBot="1" x14ac:dyDescent="0.3">
      <c r="C511" s="106"/>
      <c r="D511" s="108"/>
      <c r="E511" s="40">
        <v>1</v>
      </c>
      <c r="F511" s="110"/>
      <c r="G511" s="40"/>
      <c r="H511" s="39">
        <v>110</v>
      </c>
    </row>
    <row r="512" spans="3:8" x14ac:dyDescent="0.25">
      <c r="C512" s="105">
        <v>236</v>
      </c>
      <c r="D512" s="107">
        <v>45697</v>
      </c>
      <c r="E512" s="38">
        <v>4</v>
      </c>
      <c r="F512" s="109" t="s">
        <v>261</v>
      </c>
      <c r="G512" s="38">
        <v>110</v>
      </c>
      <c r="H512" s="37"/>
    </row>
    <row r="513" spans="3:8" ht="15.75" thickBot="1" x14ac:dyDescent="0.3">
      <c r="C513" s="106"/>
      <c r="D513" s="108"/>
      <c r="E513" s="40">
        <v>1</v>
      </c>
      <c r="F513" s="110"/>
      <c r="G513" s="40"/>
      <c r="H513" s="39">
        <v>110</v>
      </c>
    </row>
    <row r="514" spans="3:8" x14ac:dyDescent="0.25">
      <c r="C514" s="105">
        <v>237</v>
      </c>
      <c r="D514" s="107">
        <v>45697</v>
      </c>
      <c r="E514" s="38">
        <v>4</v>
      </c>
      <c r="F514" s="109" t="s">
        <v>236</v>
      </c>
      <c r="G514" s="38">
        <v>75</v>
      </c>
      <c r="H514" s="37"/>
    </row>
    <row r="515" spans="3:8" ht="15.75" thickBot="1" x14ac:dyDescent="0.3">
      <c r="C515" s="106"/>
      <c r="D515" s="108"/>
      <c r="E515" s="40">
        <v>1</v>
      </c>
      <c r="F515" s="110"/>
      <c r="G515" s="40"/>
      <c r="H515" s="39">
        <v>75</v>
      </c>
    </row>
    <row r="516" spans="3:8" x14ac:dyDescent="0.25">
      <c r="C516" s="105">
        <v>238</v>
      </c>
      <c r="D516" s="107">
        <v>45697</v>
      </c>
      <c r="E516" s="38">
        <v>4</v>
      </c>
      <c r="F516" s="109" t="s">
        <v>324</v>
      </c>
      <c r="G516" s="38">
        <v>200</v>
      </c>
      <c r="H516" s="37"/>
    </row>
    <row r="517" spans="3:8" ht="15.75" thickBot="1" x14ac:dyDescent="0.3">
      <c r="C517" s="106"/>
      <c r="D517" s="108"/>
      <c r="E517" s="40">
        <v>1</v>
      </c>
      <c r="F517" s="110"/>
      <c r="G517" s="40"/>
      <c r="H517" s="39">
        <v>200</v>
      </c>
    </row>
    <row r="518" spans="3:8" x14ac:dyDescent="0.25">
      <c r="C518" s="105">
        <v>239</v>
      </c>
      <c r="D518" s="107">
        <v>45697</v>
      </c>
      <c r="E518" s="38">
        <v>4</v>
      </c>
      <c r="F518" s="109" t="s">
        <v>286</v>
      </c>
      <c r="G518" s="38">
        <v>100</v>
      </c>
      <c r="H518" s="37"/>
    </row>
    <row r="519" spans="3:8" ht="15.75" thickBot="1" x14ac:dyDescent="0.3">
      <c r="C519" s="106"/>
      <c r="D519" s="108"/>
      <c r="E519" s="40">
        <v>1</v>
      </c>
      <c r="F519" s="110"/>
      <c r="G519" s="40"/>
      <c r="H519" s="39">
        <v>100</v>
      </c>
    </row>
    <row r="520" spans="3:8" x14ac:dyDescent="0.25">
      <c r="C520" s="105">
        <v>240</v>
      </c>
      <c r="D520" s="107">
        <v>45697</v>
      </c>
      <c r="E520" s="38">
        <v>1</v>
      </c>
      <c r="F520" s="109" t="s">
        <v>135</v>
      </c>
      <c r="G520" s="38">
        <v>15</v>
      </c>
      <c r="H520" s="37"/>
    </row>
    <row r="521" spans="3:8" ht="15.75" thickBot="1" x14ac:dyDescent="0.3">
      <c r="C521" s="106"/>
      <c r="D521" s="108"/>
      <c r="E521" s="40">
        <v>12</v>
      </c>
      <c r="F521" s="110"/>
      <c r="G521" s="40"/>
      <c r="H521" s="39">
        <v>15</v>
      </c>
    </row>
    <row r="522" spans="3:8" x14ac:dyDescent="0.25">
      <c r="C522" s="105">
        <v>241</v>
      </c>
      <c r="D522" s="107">
        <v>45697</v>
      </c>
      <c r="E522" s="38">
        <v>1</v>
      </c>
      <c r="F522" s="109" t="s">
        <v>134</v>
      </c>
      <c r="G522" s="38">
        <v>27.5</v>
      </c>
      <c r="H522" s="37"/>
    </row>
    <row r="523" spans="3:8" ht="15.75" thickBot="1" x14ac:dyDescent="0.3">
      <c r="C523" s="106"/>
      <c r="D523" s="108"/>
      <c r="E523" s="40">
        <v>7</v>
      </c>
      <c r="F523" s="110"/>
      <c r="G523" s="40"/>
      <c r="H523" s="39">
        <v>27.5</v>
      </c>
    </row>
    <row r="524" spans="3:8" x14ac:dyDescent="0.25">
      <c r="C524" s="105">
        <v>242</v>
      </c>
      <c r="D524" s="107">
        <v>45697</v>
      </c>
      <c r="E524" s="38">
        <v>1</v>
      </c>
      <c r="F524" s="109" t="s">
        <v>183</v>
      </c>
      <c r="G524" s="38">
        <v>50</v>
      </c>
      <c r="H524" s="37"/>
    </row>
    <row r="525" spans="3:8" ht="15.75" thickBot="1" x14ac:dyDescent="0.3">
      <c r="C525" s="106"/>
      <c r="D525" s="108"/>
      <c r="E525" s="40">
        <v>5</v>
      </c>
      <c r="F525" s="110"/>
      <c r="G525" s="40"/>
      <c r="H525" s="39">
        <v>50</v>
      </c>
    </row>
    <row r="526" spans="3:8" x14ac:dyDescent="0.25">
      <c r="C526" s="105">
        <v>243</v>
      </c>
      <c r="D526" s="107">
        <v>45698</v>
      </c>
      <c r="E526" s="38">
        <v>4</v>
      </c>
      <c r="F526" s="109" t="s">
        <v>237</v>
      </c>
      <c r="G526" s="38">
        <v>110</v>
      </c>
      <c r="H526" s="37"/>
    </row>
    <row r="527" spans="3:8" ht="15.75" thickBot="1" x14ac:dyDescent="0.3">
      <c r="C527" s="106"/>
      <c r="D527" s="108"/>
      <c r="E527" s="40">
        <v>1</v>
      </c>
      <c r="F527" s="110"/>
      <c r="G527" s="40"/>
      <c r="H527" s="39">
        <v>110</v>
      </c>
    </row>
    <row r="528" spans="3:8" x14ac:dyDescent="0.25">
      <c r="C528" s="105">
        <v>244</v>
      </c>
      <c r="D528" s="107">
        <v>45698</v>
      </c>
      <c r="E528" s="38">
        <v>4</v>
      </c>
      <c r="F528" s="109" t="s">
        <v>236</v>
      </c>
      <c r="G528" s="38">
        <v>100</v>
      </c>
      <c r="H528" s="37"/>
    </row>
    <row r="529" spans="3:8" ht="15.75" thickBot="1" x14ac:dyDescent="0.3">
      <c r="C529" s="106"/>
      <c r="D529" s="108"/>
      <c r="E529" s="40">
        <v>1</v>
      </c>
      <c r="F529" s="110"/>
      <c r="G529" s="40"/>
      <c r="H529" s="39">
        <v>100</v>
      </c>
    </row>
    <row r="530" spans="3:8" x14ac:dyDescent="0.25">
      <c r="C530" s="105">
        <v>245</v>
      </c>
      <c r="D530" s="107">
        <v>45698</v>
      </c>
      <c r="E530" s="38">
        <v>4</v>
      </c>
      <c r="F530" s="109" t="s">
        <v>237</v>
      </c>
      <c r="G530" s="38">
        <v>110</v>
      </c>
      <c r="H530" s="37"/>
    </row>
    <row r="531" spans="3:8" ht="15.75" thickBot="1" x14ac:dyDescent="0.3">
      <c r="C531" s="106"/>
      <c r="D531" s="108"/>
      <c r="E531" s="40">
        <v>1</v>
      </c>
      <c r="F531" s="110"/>
      <c r="G531" s="40"/>
      <c r="H531" s="39">
        <v>110</v>
      </c>
    </row>
    <row r="532" spans="3:8" x14ac:dyDescent="0.25">
      <c r="C532" s="105">
        <v>246</v>
      </c>
      <c r="D532" s="107">
        <v>45698</v>
      </c>
      <c r="E532" s="38">
        <v>4</v>
      </c>
      <c r="F532" s="109" t="s">
        <v>255</v>
      </c>
      <c r="G532" s="38">
        <v>110</v>
      </c>
      <c r="H532" s="37"/>
    </row>
    <row r="533" spans="3:8" ht="15.75" thickBot="1" x14ac:dyDescent="0.3">
      <c r="C533" s="106"/>
      <c r="D533" s="108"/>
      <c r="E533" s="40">
        <v>1</v>
      </c>
      <c r="F533" s="110"/>
      <c r="G533" s="40"/>
      <c r="H533" s="39">
        <v>110</v>
      </c>
    </row>
    <row r="534" spans="3:8" x14ac:dyDescent="0.25">
      <c r="C534" s="105">
        <v>247</v>
      </c>
      <c r="D534" s="107">
        <v>45698</v>
      </c>
      <c r="E534" s="38">
        <v>4</v>
      </c>
      <c r="F534" s="109" t="s">
        <v>325</v>
      </c>
      <c r="G534" s="38">
        <v>320</v>
      </c>
      <c r="H534" s="37"/>
    </row>
    <row r="535" spans="3:8" ht="15.75" thickBot="1" x14ac:dyDescent="0.3">
      <c r="C535" s="106"/>
      <c r="D535" s="108"/>
      <c r="E535" s="40">
        <v>1</v>
      </c>
      <c r="F535" s="110"/>
      <c r="G535" s="40"/>
      <c r="H535" s="39">
        <v>320</v>
      </c>
    </row>
    <row r="536" spans="3:8" x14ac:dyDescent="0.25">
      <c r="C536" s="105">
        <v>248</v>
      </c>
      <c r="D536" s="107">
        <v>45698</v>
      </c>
      <c r="E536" s="38">
        <v>4</v>
      </c>
      <c r="F536" s="109" t="s">
        <v>311</v>
      </c>
      <c r="G536" s="38">
        <v>100</v>
      </c>
      <c r="H536" s="37"/>
    </row>
    <row r="537" spans="3:8" ht="15.75" thickBot="1" x14ac:dyDescent="0.3">
      <c r="C537" s="106"/>
      <c r="D537" s="108"/>
      <c r="E537" s="40">
        <v>1</v>
      </c>
      <c r="F537" s="110"/>
      <c r="G537" s="40"/>
      <c r="H537" s="39">
        <v>100</v>
      </c>
    </row>
    <row r="538" spans="3:8" x14ac:dyDescent="0.25">
      <c r="C538" s="105">
        <v>249</v>
      </c>
      <c r="D538" s="107">
        <v>45698</v>
      </c>
      <c r="E538" s="38">
        <v>4</v>
      </c>
      <c r="F538" s="109" t="s">
        <v>236</v>
      </c>
      <c r="G538" s="38">
        <v>100</v>
      </c>
      <c r="H538" s="37"/>
    </row>
    <row r="539" spans="3:8" ht="15.75" thickBot="1" x14ac:dyDescent="0.3">
      <c r="C539" s="106"/>
      <c r="D539" s="108"/>
      <c r="E539" s="40">
        <v>1</v>
      </c>
      <c r="F539" s="110"/>
      <c r="G539" s="40"/>
      <c r="H539" s="39">
        <v>100</v>
      </c>
    </row>
    <row r="540" spans="3:8" x14ac:dyDescent="0.25">
      <c r="C540" s="105">
        <v>250</v>
      </c>
      <c r="D540" s="107">
        <v>45698</v>
      </c>
      <c r="E540" s="38">
        <v>1</v>
      </c>
      <c r="F540" s="109" t="s">
        <v>134</v>
      </c>
      <c r="G540" s="38">
        <v>15.5</v>
      </c>
      <c r="H540" s="37"/>
    </row>
    <row r="541" spans="3:8" ht="15.75" thickBot="1" x14ac:dyDescent="0.3">
      <c r="C541" s="106"/>
      <c r="D541" s="108"/>
      <c r="E541" s="40">
        <v>7</v>
      </c>
      <c r="F541" s="110"/>
      <c r="G541" s="40"/>
      <c r="H541" s="39">
        <v>15.5</v>
      </c>
    </row>
    <row r="542" spans="3:8" x14ac:dyDescent="0.25">
      <c r="C542" s="105">
        <v>251</v>
      </c>
      <c r="D542" s="107">
        <v>45698</v>
      </c>
      <c r="E542" s="38">
        <v>1</v>
      </c>
      <c r="F542" s="109" t="s">
        <v>135</v>
      </c>
      <c r="G542" s="38">
        <v>8</v>
      </c>
      <c r="H542" s="37"/>
    </row>
    <row r="543" spans="3:8" ht="15.75" thickBot="1" x14ac:dyDescent="0.3">
      <c r="C543" s="106"/>
      <c r="D543" s="108"/>
      <c r="E543" s="40">
        <v>12</v>
      </c>
      <c r="F543" s="110"/>
      <c r="G543" s="40"/>
      <c r="H543" s="39">
        <v>8</v>
      </c>
    </row>
    <row r="544" spans="3:8" x14ac:dyDescent="0.25">
      <c r="C544" s="105">
        <v>252</v>
      </c>
      <c r="D544" s="107">
        <v>45698</v>
      </c>
      <c r="E544" s="38">
        <v>1</v>
      </c>
      <c r="F544" s="109" t="s">
        <v>326</v>
      </c>
      <c r="G544" s="38">
        <v>175</v>
      </c>
      <c r="H544" s="37"/>
    </row>
    <row r="545" spans="3:8" ht="15.75" thickBot="1" x14ac:dyDescent="0.3">
      <c r="C545" s="106"/>
      <c r="D545" s="108"/>
      <c r="E545" s="40">
        <v>8</v>
      </c>
      <c r="F545" s="110"/>
      <c r="G545" s="40"/>
      <c r="H545" s="39">
        <v>175</v>
      </c>
    </row>
    <row r="546" spans="3:8" x14ac:dyDescent="0.25">
      <c r="C546" s="105">
        <v>253</v>
      </c>
      <c r="D546" s="107">
        <v>45698</v>
      </c>
      <c r="E546" s="38">
        <v>1</v>
      </c>
      <c r="F546" s="109" t="s">
        <v>327</v>
      </c>
      <c r="G546" s="38">
        <v>20</v>
      </c>
      <c r="H546" s="37"/>
    </row>
    <row r="547" spans="3:8" ht="15.75" thickBot="1" x14ac:dyDescent="0.3">
      <c r="C547" s="106"/>
      <c r="D547" s="108"/>
      <c r="E547" s="40">
        <v>12</v>
      </c>
      <c r="F547" s="110"/>
      <c r="G547" s="40"/>
      <c r="H547" s="39">
        <v>20</v>
      </c>
    </row>
    <row r="548" spans="3:8" x14ac:dyDescent="0.25">
      <c r="C548" s="105">
        <v>254</v>
      </c>
      <c r="D548" s="107">
        <v>45698</v>
      </c>
      <c r="E548" s="38">
        <v>1</v>
      </c>
      <c r="F548" s="109" t="s">
        <v>30</v>
      </c>
      <c r="G548" s="38">
        <f>1.5+2+6</f>
        <v>9.5</v>
      </c>
      <c r="H548" s="37"/>
    </row>
    <row r="549" spans="3:8" ht="15.75" thickBot="1" x14ac:dyDescent="0.3">
      <c r="C549" s="106"/>
      <c r="D549" s="108"/>
      <c r="E549" s="40">
        <v>5</v>
      </c>
      <c r="F549" s="110"/>
      <c r="G549" s="40"/>
      <c r="H549" s="39">
        <v>9.5</v>
      </c>
    </row>
    <row r="550" spans="3:8" x14ac:dyDescent="0.25">
      <c r="C550" s="105">
        <v>255</v>
      </c>
      <c r="D550" s="107">
        <v>45699</v>
      </c>
      <c r="E550" s="38">
        <v>4</v>
      </c>
      <c r="F550" s="109" t="s">
        <v>236</v>
      </c>
      <c r="G550" s="38">
        <v>100</v>
      </c>
      <c r="H550" s="37"/>
    </row>
    <row r="551" spans="3:8" ht="15.75" thickBot="1" x14ac:dyDescent="0.3">
      <c r="C551" s="106"/>
      <c r="D551" s="108"/>
      <c r="E551" s="40">
        <v>1</v>
      </c>
      <c r="F551" s="110"/>
      <c r="G551" s="40"/>
      <c r="H551" s="39">
        <v>100</v>
      </c>
    </row>
    <row r="552" spans="3:8" x14ac:dyDescent="0.25">
      <c r="C552" s="105">
        <v>256</v>
      </c>
      <c r="D552" s="107">
        <v>45699</v>
      </c>
      <c r="E552" s="38">
        <v>4</v>
      </c>
      <c r="F552" s="109" t="s">
        <v>311</v>
      </c>
      <c r="G552" s="38">
        <v>75</v>
      </c>
      <c r="H552" s="37"/>
    </row>
    <row r="553" spans="3:8" ht="15.75" thickBot="1" x14ac:dyDescent="0.3">
      <c r="C553" s="106"/>
      <c r="D553" s="108"/>
      <c r="E553" s="40">
        <v>1</v>
      </c>
      <c r="F553" s="110"/>
      <c r="G553" s="40"/>
      <c r="H553" s="39">
        <v>75</v>
      </c>
    </row>
    <row r="554" spans="3:8" x14ac:dyDescent="0.25">
      <c r="C554" s="105">
        <v>257</v>
      </c>
      <c r="D554" s="107">
        <v>45699</v>
      </c>
      <c r="E554" s="38">
        <v>1</v>
      </c>
      <c r="F554" s="109" t="s">
        <v>209</v>
      </c>
      <c r="G554" s="38">
        <v>15</v>
      </c>
      <c r="H554" s="37"/>
    </row>
    <row r="555" spans="3:8" ht="15.75" thickBot="1" x14ac:dyDescent="0.3">
      <c r="C555" s="106"/>
      <c r="D555" s="108"/>
      <c r="E555" s="40">
        <v>12</v>
      </c>
      <c r="F555" s="110"/>
      <c r="G555" s="40"/>
      <c r="H555" s="39">
        <v>15</v>
      </c>
    </row>
    <row r="556" spans="3:8" x14ac:dyDescent="0.25">
      <c r="C556" s="105">
        <v>258</v>
      </c>
      <c r="D556" s="107">
        <v>45699</v>
      </c>
      <c r="E556" s="38">
        <v>1</v>
      </c>
      <c r="F556" s="109" t="s">
        <v>30</v>
      </c>
      <c r="G556" s="38">
        <v>10</v>
      </c>
      <c r="H556" s="37"/>
    </row>
    <row r="557" spans="3:8" ht="15.75" thickBot="1" x14ac:dyDescent="0.3">
      <c r="C557" s="106"/>
      <c r="D557" s="108"/>
      <c r="E557" s="40">
        <v>5</v>
      </c>
      <c r="F557" s="110"/>
      <c r="G557" s="40"/>
      <c r="H557" s="39">
        <v>10</v>
      </c>
    </row>
    <row r="558" spans="3:8" x14ac:dyDescent="0.25">
      <c r="C558" s="105">
        <v>259</v>
      </c>
      <c r="D558" s="107">
        <v>45700</v>
      </c>
      <c r="E558" s="38">
        <v>4</v>
      </c>
      <c r="F558" s="109" t="s">
        <v>255</v>
      </c>
      <c r="G558" s="38">
        <v>110</v>
      </c>
      <c r="H558" s="37"/>
    </row>
    <row r="559" spans="3:8" ht="15.75" thickBot="1" x14ac:dyDescent="0.3">
      <c r="C559" s="106"/>
      <c r="D559" s="108"/>
      <c r="E559" s="40">
        <v>1</v>
      </c>
      <c r="F559" s="110"/>
      <c r="G559" s="40"/>
      <c r="H559" s="39">
        <v>110</v>
      </c>
    </row>
    <row r="560" spans="3:8" x14ac:dyDescent="0.25">
      <c r="C560" s="105">
        <v>260</v>
      </c>
      <c r="D560" s="107">
        <v>45700</v>
      </c>
      <c r="E560" s="38">
        <v>4</v>
      </c>
      <c r="F560" s="109" t="s">
        <v>236</v>
      </c>
      <c r="G560" s="38">
        <v>100</v>
      </c>
      <c r="H560" s="37"/>
    </row>
    <row r="561" spans="3:8" ht="15.75" thickBot="1" x14ac:dyDescent="0.3">
      <c r="C561" s="106"/>
      <c r="D561" s="108"/>
      <c r="E561" s="40">
        <v>1</v>
      </c>
      <c r="F561" s="110"/>
      <c r="G561" s="40"/>
      <c r="H561" s="39">
        <v>100</v>
      </c>
    </row>
    <row r="562" spans="3:8" x14ac:dyDescent="0.25">
      <c r="C562" s="105">
        <v>261</v>
      </c>
      <c r="D562" s="107">
        <v>45700</v>
      </c>
      <c r="E562" s="38">
        <v>4</v>
      </c>
      <c r="F562" s="109" t="s">
        <v>328</v>
      </c>
      <c r="G562" s="38">
        <v>200</v>
      </c>
      <c r="H562" s="37"/>
    </row>
    <row r="563" spans="3:8" ht="15.75" thickBot="1" x14ac:dyDescent="0.3">
      <c r="C563" s="106"/>
      <c r="D563" s="108"/>
      <c r="E563" s="40">
        <v>1</v>
      </c>
      <c r="F563" s="110"/>
      <c r="G563" s="40"/>
      <c r="H563" s="39">
        <v>200</v>
      </c>
    </row>
    <row r="564" spans="3:8" x14ac:dyDescent="0.25">
      <c r="C564" s="105">
        <v>262</v>
      </c>
      <c r="D564" s="107">
        <v>45700</v>
      </c>
      <c r="E564" s="38">
        <v>4</v>
      </c>
      <c r="F564" s="109" t="s">
        <v>245</v>
      </c>
      <c r="G564" s="38">
        <v>75</v>
      </c>
      <c r="H564" s="37"/>
    </row>
    <row r="565" spans="3:8" ht="15.75" thickBot="1" x14ac:dyDescent="0.3">
      <c r="C565" s="106"/>
      <c r="D565" s="108"/>
      <c r="E565" s="40">
        <v>1</v>
      </c>
      <c r="F565" s="110"/>
      <c r="G565" s="40"/>
      <c r="H565" s="39">
        <v>75</v>
      </c>
    </row>
    <row r="566" spans="3:8" x14ac:dyDescent="0.25">
      <c r="C566" s="105">
        <v>263</v>
      </c>
      <c r="D566" s="107">
        <v>45700</v>
      </c>
      <c r="E566" s="38">
        <v>1</v>
      </c>
      <c r="F566" s="109" t="s">
        <v>30</v>
      </c>
      <c r="G566" s="38">
        <v>2</v>
      </c>
      <c r="H566" s="37"/>
    </row>
    <row r="567" spans="3:8" ht="15.75" thickBot="1" x14ac:dyDescent="0.3">
      <c r="C567" s="106"/>
      <c r="D567" s="108"/>
      <c r="E567" s="40">
        <v>5</v>
      </c>
      <c r="F567" s="110"/>
      <c r="G567" s="40"/>
      <c r="H567" s="39">
        <v>2</v>
      </c>
    </row>
    <row r="568" spans="3:8" x14ac:dyDescent="0.25">
      <c r="C568" s="105">
        <v>264</v>
      </c>
      <c r="D568" s="107">
        <v>45700</v>
      </c>
      <c r="E568" s="38">
        <v>1</v>
      </c>
      <c r="F568" s="109" t="s">
        <v>329</v>
      </c>
      <c r="G568" s="38">
        <v>190</v>
      </c>
      <c r="H568" s="37"/>
    </row>
    <row r="569" spans="3:8" ht="15.75" thickBot="1" x14ac:dyDescent="0.3">
      <c r="C569" s="106"/>
      <c r="D569" s="108"/>
      <c r="E569" s="40">
        <v>12</v>
      </c>
      <c r="F569" s="110"/>
      <c r="G569" s="40"/>
      <c r="H569" s="39">
        <v>190</v>
      </c>
    </row>
    <row r="570" spans="3:8" x14ac:dyDescent="0.25">
      <c r="C570" s="105">
        <v>265</v>
      </c>
      <c r="D570" s="107">
        <v>45700</v>
      </c>
      <c r="E570" s="38">
        <v>1</v>
      </c>
      <c r="F570" s="109" t="s">
        <v>140</v>
      </c>
      <c r="G570" s="38">
        <v>184.1</v>
      </c>
      <c r="H570" s="37"/>
    </row>
    <row r="571" spans="3:8" ht="15.75" thickBot="1" x14ac:dyDescent="0.3">
      <c r="C571" s="106"/>
      <c r="D571" s="108"/>
      <c r="E571" s="40">
        <v>7</v>
      </c>
      <c r="F571" s="110"/>
      <c r="G571" s="40"/>
      <c r="H571" s="39">
        <v>184.1</v>
      </c>
    </row>
    <row r="572" spans="3:8" x14ac:dyDescent="0.25">
      <c r="C572" s="105">
        <v>266</v>
      </c>
      <c r="D572" s="107">
        <v>45701</v>
      </c>
      <c r="E572" s="38">
        <v>4</v>
      </c>
      <c r="F572" s="109" t="s">
        <v>237</v>
      </c>
      <c r="G572" s="38">
        <v>110</v>
      </c>
      <c r="H572" s="37"/>
    </row>
    <row r="573" spans="3:8" ht="15.75" thickBot="1" x14ac:dyDescent="0.3">
      <c r="C573" s="106"/>
      <c r="D573" s="108"/>
      <c r="E573" s="40">
        <v>1</v>
      </c>
      <c r="F573" s="110"/>
      <c r="G573" s="40"/>
      <c r="H573" s="39">
        <v>110</v>
      </c>
    </row>
    <row r="574" spans="3:8" x14ac:dyDescent="0.25">
      <c r="C574" s="105">
        <v>267</v>
      </c>
      <c r="D574" s="107">
        <v>45701</v>
      </c>
      <c r="E574" s="38">
        <v>4</v>
      </c>
      <c r="F574" s="109" t="s">
        <v>311</v>
      </c>
      <c r="G574" s="38">
        <v>100</v>
      </c>
      <c r="H574" s="37"/>
    </row>
    <row r="575" spans="3:8" ht="15.75" thickBot="1" x14ac:dyDescent="0.3">
      <c r="C575" s="106"/>
      <c r="D575" s="108"/>
      <c r="E575" s="40">
        <v>1</v>
      </c>
      <c r="F575" s="110"/>
      <c r="G575" s="40"/>
      <c r="H575" s="39">
        <v>100</v>
      </c>
    </row>
    <row r="576" spans="3:8" x14ac:dyDescent="0.25">
      <c r="C576" s="105">
        <v>268</v>
      </c>
      <c r="D576" s="107">
        <v>45701</v>
      </c>
      <c r="E576" s="38">
        <v>1</v>
      </c>
      <c r="F576" s="109" t="s">
        <v>135</v>
      </c>
      <c r="G576" s="38">
        <v>24.5</v>
      </c>
      <c r="H576" s="37"/>
    </row>
    <row r="577" spans="3:8" ht="15.75" thickBot="1" x14ac:dyDescent="0.3">
      <c r="C577" s="106"/>
      <c r="D577" s="108"/>
      <c r="E577" s="40">
        <v>12</v>
      </c>
      <c r="F577" s="110"/>
      <c r="G577" s="40"/>
      <c r="H577" s="39">
        <v>24.5</v>
      </c>
    </row>
    <row r="578" spans="3:8" x14ac:dyDescent="0.25">
      <c r="C578" s="105">
        <v>269</v>
      </c>
      <c r="D578" s="107">
        <v>45701</v>
      </c>
      <c r="E578" s="38">
        <v>1</v>
      </c>
      <c r="F578" s="109" t="s">
        <v>30</v>
      </c>
      <c r="G578" s="38">
        <v>2</v>
      </c>
      <c r="H578" s="37"/>
    </row>
    <row r="579" spans="3:8" ht="15.75" thickBot="1" x14ac:dyDescent="0.3">
      <c r="C579" s="106"/>
      <c r="D579" s="108"/>
      <c r="E579" s="40">
        <v>5</v>
      </c>
      <c r="F579" s="110"/>
      <c r="G579" s="40"/>
      <c r="H579" s="39">
        <v>2</v>
      </c>
    </row>
    <row r="580" spans="3:8" x14ac:dyDescent="0.25">
      <c r="C580" s="105">
        <v>270</v>
      </c>
      <c r="D580" s="107">
        <v>45702</v>
      </c>
      <c r="E580" s="38">
        <v>4</v>
      </c>
      <c r="F580" s="109" t="s">
        <v>133</v>
      </c>
      <c r="G580" s="38">
        <v>100</v>
      </c>
      <c r="H580" s="37"/>
    </row>
    <row r="581" spans="3:8" ht="15.75" thickBot="1" x14ac:dyDescent="0.3">
      <c r="C581" s="106"/>
      <c r="D581" s="108"/>
      <c r="E581" s="40">
        <v>1</v>
      </c>
      <c r="F581" s="110"/>
      <c r="G581" s="40"/>
      <c r="H581" s="39">
        <v>100</v>
      </c>
    </row>
    <row r="582" spans="3:8" x14ac:dyDescent="0.25">
      <c r="C582" s="105">
        <v>271</v>
      </c>
      <c r="D582" s="107">
        <v>45702</v>
      </c>
      <c r="E582" s="38">
        <v>4</v>
      </c>
      <c r="F582" s="109" t="s">
        <v>236</v>
      </c>
      <c r="G582" s="38">
        <v>100</v>
      </c>
      <c r="H582" s="37"/>
    </row>
    <row r="583" spans="3:8" ht="15.75" thickBot="1" x14ac:dyDescent="0.3">
      <c r="C583" s="106"/>
      <c r="D583" s="108"/>
      <c r="E583" s="40">
        <v>1</v>
      </c>
      <c r="F583" s="110"/>
      <c r="G583" s="40"/>
      <c r="H583" s="39">
        <v>100</v>
      </c>
    </row>
    <row r="584" spans="3:8" x14ac:dyDescent="0.25">
      <c r="C584" s="105">
        <v>272</v>
      </c>
      <c r="D584" s="107">
        <v>45702</v>
      </c>
      <c r="E584" s="38">
        <v>4</v>
      </c>
      <c r="F584" s="109" t="s">
        <v>255</v>
      </c>
      <c r="G584" s="38">
        <v>110</v>
      </c>
      <c r="H584" s="37"/>
    </row>
    <row r="585" spans="3:8" ht="15.75" thickBot="1" x14ac:dyDescent="0.3">
      <c r="C585" s="106"/>
      <c r="D585" s="108"/>
      <c r="E585" s="40">
        <v>1</v>
      </c>
      <c r="F585" s="110"/>
      <c r="G585" s="40"/>
      <c r="H585" s="39">
        <v>110</v>
      </c>
    </row>
    <row r="586" spans="3:8" x14ac:dyDescent="0.25">
      <c r="C586" s="105">
        <v>273</v>
      </c>
      <c r="D586" s="107">
        <v>45702</v>
      </c>
      <c r="E586" s="38">
        <v>4</v>
      </c>
      <c r="F586" s="109" t="s">
        <v>179</v>
      </c>
      <c r="G586" s="38">
        <v>110</v>
      </c>
      <c r="H586" s="37"/>
    </row>
    <row r="587" spans="3:8" ht="15.75" thickBot="1" x14ac:dyDescent="0.3">
      <c r="C587" s="106"/>
      <c r="D587" s="108"/>
      <c r="E587" s="40">
        <v>1</v>
      </c>
      <c r="F587" s="110"/>
      <c r="G587" s="40"/>
      <c r="H587" s="39">
        <v>110</v>
      </c>
    </row>
    <row r="588" spans="3:8" x14ac:dyDescent="0.25">
      <c r="C588" s="105">
        <v>274</v>
      </c>
      <c r="D588" s="107">
        <v>45702</v>
      </c>
      <c r="E588" s="38">
        <v>4</v>
      </c>
      <c r="F588" s="109" t="s">
        <v>236</v>
      </c>
      <c r="G588" s="38">
        <v>100</v>
      </c>
      <c r="H588" s="37"/>
    </row>
    <row r="589" spans="3:8" ht="15.75" thickBot="1" x14ac:dyDescent="0.3">
      <c r="C589" s="106"/>
      <c r="D589" s="108"/>
      <c r="E589" s="40">
        <v>1</v>
      </c>
      <c r="F589" s="110"/>
      <c r="G589" s="40"/>
      <c r="H589" s="39">
        <v>100</v>
      </c>
    </row>
    <row r="590" spans="3:8" x14ac:dyDescent="0.25">
      <c r="C590" s="105">
        <v>275</v>
      </c>
      <c r="D590" s="107">
        <v>45702</v>
      </c>
      <c r="E590" s="38">
        <v>1</v>
      </c>
      <c r="F590" s="109" t="s">
        <v>30</v>
      </c>
      <c r="G590" s="38">
        <f>2+2+2+2+3+3+3+3+2</f>
        <v>22</v>
      </c>
      <c r="H590" s="37"/>
    </row>
    <row r="591" spans="3:8" ht="15.75" thickBot="1" x14ac:dyDescent="0.3">
      <c r="C591" s="106"/>
      <c r="D591" s="108"/>
      <c r="E591" s="40">
        <v>5</v>
      </c>
      <c r="F591" s="110"/>
      <c r="G591" s="40"/>
      <c r="H591" s="39">
        <v>22</v>
      </c>
    </row>
    <row r="592" spans="3:8" x14ac:dyDescent="0.25">
      <c r="C592" s="105">
        <v>276</v>
      </c>
      <c r="D592" s="107">
        <v>45702</v>
      </c>
      <c r="E592" s="38">
        <v>5</v>
      </c>
      <c r="F592" s="109" t="s">
        <v>239</v>
      </c>
      <c r="G592" s="38">
        <v>10</v>
      </c>
      <c r="H592" s="37"/>
    </row>
    <row r="593" spans="3:8" ht="15.75" thickBot="1" x14ac:dyDescent="0.3">
      <c r="C593" s="106"/>
      <c r="D593" s="108"/>
      <c r="E593" s="40">
        <v>1</v>
      </c>
      <c r="F593" s="110"/>
      <c r="G593" s="40"/>
      <c r="H593" s="39">
        <v>10</v>
      </c>
    </row>
    <row r="594" spans="3:8" x14ac:dyDescent="0.25">
      <c r="C594" s="105">
        <v>277</v>
      </c>
      <c r="D594" s="107">
        <v>45702</v>
      </c>
      <c r="E594" s="38">
        <v>1</v>
      </c>
      <c r="F594" s="109" t="s">
        <v>134</v>
      </c>
      <c r="G594" s="38">
        <f>20+29+30+5</f>
        <v>84</v>
      </c>
      <c r="H594" s="37"/>
    </row>
    <row r="595" spans="3:8" ht="15.75" thickBot="1" x14ac:dyDescent="0.3">
      <c r="C595" s="106"/>
      <c r="D595" s="108"/>
      <c r="E595" s="40">
        <v>7</v>
      </c>
      <c r="F595" s="110"/>
      <c r="G595" s="40"/>
      <c r="H595" s="39">
        <v>84</v>
      </c>
    </row>
    <row r="596" spans="3:8" x14ac:dyDescent="0.25">
      <c r="C596" s="105">
        <v>278</v>
      </c>
      <c r="D596" s="107">
        <v>45702</v>
      </c>
      <c r="E596" s="38">
        <v>2</v>
      </c>
      <c r="F596" s="109" t="s">
        <v>7</v>
      </c>
      <c r="G596" s="38">
        <v>492</v>
      </c>
      <c r="H596" s="37"/>
    </row>
    <row r="597" spans="3:8" ht="15.75" thickBot="1" x14ac:dyDescent="0.3">
      <c r="C597" s="106"/>
      <c r="D597" s="108"/>
      <c r="E597" s="40">
        <v>1</v>
      </c>
      <c r="F597" s="110"/>
      <c r="G597" s="40"/>
      <c r="H597" s="39">
        <v>492</v>
      </c>
    </row>
    <row r="598" spans="3:8" x14ac:dyDescent="0.25">
      <c r="C598" s="105">
        <v>279</v>
      </c>
      <c r="D598" s="107">
        <v>45702</v>
      </c>
      <c r="E598" s="38">
        <v>1</v>
      </c>
      <c r="F598" s="109" t="s">
        <v>332</v>
      </c>
      <c r="G598" s="38">
        <v>10</v>
      </c>
      <c r="H598" s="37"/>
    </row>
    <row r="599" spans="3:8" ht="15.75" thickBot="1" x14ac:dyDescent="0.3">
      <c r="C599" s="106"/>
      <c r="D599" s="108"/>
      <c r="E599" s="40">
        <v>12</v>
      </c>
      <c r="F599" s="110"/>
      <c r="G599" s="40"/>
      <c r="H599" s="39">
        <v>10</v>
      </c>
    </row>
    <row r="600" spans="3:8" x14ac:dyDescent="0.25">
      <c r="C600" s="105">
        <v>280</v>
      </c>
      <c r="D600" s="107">
        <v>45703</v>
      </c>
      <c r="E600" s="38">
        <v>1</v>
      </c>
      <c r="F600" s="109" t="s">
        <v>321</v>
      </c>
      <c r="G600" s="38">
        <f>22+13+10+3.5+15</f>
        <v>63.5</v>
      </c>
      <c r="H600" s="37"/>
    </row>
    <row r="601" spans="3:8" ht="15.75" thickBot="1" x14ac:dyDescent="0.3">
      <c r="C601" s="106"/>
      <c r="D601" s="108"/>
      <c r="E601" s="40">
        <v>12</v>
      </c>
      <c r="F601" s="110"/>
      <c r="G601" s="40"/>
      <c r="H601" s="39">
        <v>63.5</v>
      </c>
    </row>
    <row r="602" spans="3:8" x14ac:dyDescent="0.25">
      <c r="C602" s="105">
        <v>281</v>
      </c>
      <c r="D602" s="107">
        <v>45704</v>
      </c>
      <c r="E602" s="38">
        <v>1</v>
      </c>
      <c r="F602" s="109" t="s">
        <v>134</v>
      </c>
      <c r="G602" s="38">
        <v>32.799999999999997</v>
      </c>
      <c r="H602" s="37"/>
    </row>
    <row r="603" spans="3:8" ht="15.75" thickBot="1" x14ac:dyDescent="0.3">
      <c r="C603" s="106"/>
      <c r="D603" s="108"/>
      <c r="E603" s="40">
        <v>7</v>
      </c>
      <c r="F603" s="110"/>
      <c r="G603" s="40"/>
      <c r="H603" s="39">
        <v>32.799999999999997</v>
      </c>
    </row>
    <row r="604" spans="3:8" x14ac:dyDescent="0.25">
      <c r="C604" s="105">
        <v>282</v>
      </c>
      <c r="D604" s="107">
        <v>45704</v>
      </c>
      <c r="E604" s="38">
        <v>1</v>
      </c>
      <c r="F604" s="109" t="s">
        <v>135</v>
      </c>
      <c r="G604" s="38">
        <v>32</v>
      </c>
      <c r="H604" s="37"/>
    </row>
    <row r="605" spans="3:8" ht="15.75" thickBot="1" x14ac:dyDescent="0.3">
      <c r="C605" s="106"/>
      <c r="D605" s="108"/>
      <c r="E605" s="40">
        <v>12</v>
      </c>
      <c r="F605" s="110"/>
      <c r="G605" s="40"/>
      <c r="H605" s="39">
        <v>32</v>
      </c>
    </row>
    <row r="606" spans="3:8" x14ac:dyDescent="0.25">
      <c r="C606" s="105">
        <v>283</v>
      </c>
      <c r="D606" s="107">
        <v>45705</v>
      </c>
      <c r="E606" s="38">
        <v>4</v>
      </c>
      <c r="F606" s="109" t="s">
        <v>237</v>
      </c>
      <c r="G606" s="38">
        <v>110</v>
      </c>
      <c r="H606" s="37"/>
    </row>
    <row r="607" spans="3:8" ht="15.75" thickBot="1" x14ac:dyDescent="0.3">
      <c r="C607" s="106"/>
      <c r="D607" s="108"/>
      <c r="E607" s="40">
        <v>1</v>
      </c>
      <c r="F607" s="110"/>
      <c r="G607" s="40"/>
      <c r="H607" s="39">
        <v>110</v>
      </c>
    </row>
    <row r="608" spans="3:8" x14ac:dyDescent="0.25">
      <c r="C608" s="105">
        <v>284</v>
      </c>
      <c r="D608" s="107">
        <v>45705</v>
      </c>
      <c r="E608" s="38">
        <v>5</v>
      </c>
      <c r="F608" s="109" t="s">
        <v>239</v>
      </c>
      <c r="G608" s="38">
        <v>5</v>
      </c>
      <c r="H608" s="37"/>
    </row>
    <row r="609" spans="3:8" ht="15.75" thickBot="1" x14ac:dyDescent="0.3">
      <c r="C609" s="106"/>
      <c r="D609" s="108"/>
      <c r="E609" s="40">
        <v>1</v>
      </c>
      <c r="F609" s="110"/>
      <c r="G609" s="40"/>
      <c r="H609" s="39">
        <v>5</v>
      </c>
    </row>
    <row r="610" spans="3:8" x14ac:dyDescent="0.25">
      <c r="C610" s="105">
        <v>285</v>
      </c>
      <c r="D610" s="107">
        <v>45705</v>
      </c>
      <c r="E610" s="38">
        <v>1</v>
      </c>
      <c r="F610" s="109" t="s">
        <v>30</v>
      </c>
      <c r="G610" s="38">
        <v>7</v>
      </c>
      <c r="H610" s="37"/>
    </row>
    <row r="611" spans="3:8" ht="15.75" thickBot="1" x14ac:dyDescent="0.3">
      <c r="C611" s="106"/>
      <c r="D611" s="108"/>
      <c r="E611" s="40">
        <v>5</v>
      </c>
      <c r="F611" s="110"/>
      <c r="G611" s="40"/>
      <c r="H611" s="39">
        <v>7</v>
      </c>
    </row>
    <row r="612" spans="3:8" x14ac:dyDescent="0.25">
      <c r="C612" s="105">
        <v>286</v>
      </c>
      <c r="D612" s="107">
        <v>45705</v>
      </c>
      <c r="E612" s="38">
        <v>4</v>
      </c>
      <c r="F612" s="109" t="s">
        <v>333</v>
      </c>
      <c r="G612" s="38">
        <v>200</v>
      </c>
      <c r="H612" s="37"/>
    </row>
    <row r="613" spans="3:8" ht="15.75" thickBot="1" x14ac:dyDescent="0.3">
      <c r="C613" s="106"/>
      <c r="D613" s="108"/>
      <c r="E613" s="40">
        <v>1</v>
      </c>
      <c r="F613" s="110"/>
      <c r="G613" s="40"/>
      <c r="H613" s="39">
        <v>200</v>
      </c>
    </row>
    <row r="614" spans="3:8" x14ac:dyDescent="0.25">
      <c r="C614" s="105">
        <v>287</v>
      </c>
      <c r="D614" s="107">
        <v>45705</v>
      </c>
      <c r="E614" s="38">
        <v>1</v>
      </c>
      <c r="F614" s="109" t="s">
        <v>7</v>
      </c>
      <c r="G614" s="38">
        <v>111</v>
      </c>
      <c r="H614" s="37"/>
    </row>
    <row r="615" spans="3:8" ht="15.75" thickBot="1" x14ac:dyDescent="0.3">
      <c r="C615" s="106"/>
      <c r="D615" s="108"/>
      <c r="E615" s="40">
        <v>2</v>
      </c>
      <c r="F615" s="110"/>
      <c r="G615" s="40"/>
      <c r="H615" s="39">
        <v>111</v>
      </c>
    </row>
    <row r="616" spans="3:8" x14ac:dyDescent="0.25">
      <c r="C616" s="105">
        <v>288</v>
      </c>
      <c r="D616" s="107">
        <v>45705</v>
      </c>
      <c r="E616" s="38">
        <v>4</v>
      </c>
      <c r="F616" s="109" t="s">
        <v>336</v>
      </c>
      <c r="G616" s="38">
        <v>100</v>
      </c>
      <c r="H616" s="37"/>
    </row>
    <row r="617" spans="3:8" ht="15.75" thickBot="1" x14ac:dyDescent="0.3">
      <c r="C617" s="106"/>
      <c r="D617" s="108"/>
      <c r="E617" s="40">
        <v>1</v>
      </c>
      <c r="F617" s="110"/>
      <c r="G617" s="40"/>
      <c r="H617" s="39">
        <v>100</v>
      </c>
    </row>
    <row r="618" spans="3:8" x14ac:dyDescent="0.25">
      <c r="C618" s="105">
        <v>289</v>
      </c>
      <c r="D618" s="107">
        <v>45705</v>
      </c>
      <c r="E618" s="38">
        <v>1</v>
      </c>
      <c r="F618" s="109" t="s">
        <v>135</v>
      </c>
      <c r="G618" s="38">
        <v>6</v>
      </c>
      <c r="H618" s="37"/>
    </row>
    <row r="619" spans="3:8" ht="15.75" thickBot="1" x14ac:dyDescent="0.3">
      <c r="C619" s="106"/>
      <c r="D619" s="108"/>
      <c r="E619" s="40">
        <v>12</v>
      </c>
      <c r="F619" s="110"/>
      <c r="G619" s="40"/>
      <c r="H619" s="39">
        <v>6</v>
      </c>
    </row>
    <row r="620" spans="3:8" x14ac:dyDescent="0.25">
      <c r="C620" s="105">
        <v>290</v>
      </c>
      <c r="D620" s="107">
        <v>45705</v>
      </c>
      <c r="E620" s="38">
        <v>4</v>
      </c>
      <c r="F620" s="109" t="s">
        <v>311</v>
      </c>
      <c r="G620" s="38">
        <v>100</v>
      </c>
      <c r="H620" s="37"/>
    </row>
    <row r="621" spans="3:8" ht="15.75" thickBot="1" x14ac:dyDescent="0.3">
      <c r="C621" s="106"/>
      <c r="D621" s="108"/>
      <c r="E621" s="40">
        <v>1</v>
      </c>
      <c r="F621" s="110"/>
      <c r="G621" s="40"/>
      <c r="H621" s="39">
        <v>100</v>
      </c>
    </row>
    <row r="622" spans="3:8" x14ac:dyDescent="0.25">
      <c r="C622" s="105">
        <v>291</v>
      </c>
      <c r="D622" s="107">
        <v>45705</v>
      </c>
      <c r="E622" s="38">
        <v>4</v>
      </c>
      <c r="F622" s="109" t="s">
        <v>337</v>
      </c>
      <c r="G622" s="38">
        <v>75</v>
      </c>
      <c r="H622" s="37"/>
    </row>
    <row r="623" spans="3:8" ht="15.75" thickBot="1" x14ac:dyDescent="0.3">
      <c r="C623" s="106"/>
      <c r="D623" s="108"/>
      <c r="E623" s="40">
        <v>1</v>
      </c>
      <c r="F623" s="110"/>
      <c r="G623" s="40"/>
      <c r="H623" s="39">
        <v>75</v>
      </c>
    </row>
    <row r="624" spans="3:8" x14ac:dyDescent="0.25">
      <c r="C624" s="105">
        <v>292</v>
      </c>
      <c r="D624" s="107">
        <v>45706</v>
      </c>
      <c r="E624" s="38">
        <v>4</v>
      </c>
      <c r="F624" s="109" t="s">
        <v>136</v>
      </c>
      <c r="G624" s="38">
        <v>75</v>
      </c>
      <c r="H624" s="37"/>
    </row>
    <row r="625" spans="3:8" ht="15.75" thickBot="1" x14ac:dyDescent="0.3">
      <c r="C625" s="106"/>
      <c r="D625" s="108"/>
      <c r="E625" s="40">
        <v>1</v>
      </c>
      <c r="F625" s="110"/>
      <c r="G625" s="40"/>
      <c r="H625" s="39">
        <v>75</v>
      </c>
    </row>
    <row r="626" spans="3:8" x14ac:dyDescent="0.25">
      <c r="C626" s="105">
        <v>293</v>
      </c>
      <c r="D626" s="107">
        <v>45706</v>
      </c>
      <c r="E626" s="38">
        <v>4</v>
      </c>
      <c r="F626" s="109" t="s">
        <v>255</v>
      </c>
      <c r="G626" s="38">
        <v>110</v>
      </c>
      <c r="H626" s="37"/>
    </row>
    <row r="627" spans="3:8" ht="15.75" thickBot="1" x14ac:dyDescent="0.3">
      <c r="C627" s="106"/>
      <c r="D627" s="108"/>
      <c r="E627" s="40">
        <v>1</v>
      </c>
      <c r="F627" s="110"/>
      <c r="G627" s="40"/>
      <c r="H627" s="39">
        <v>110</v>
      </c>
    </row>
    <row r="628" spans="3:8" x14ac:dyDescent="0.25">
      <c r="C628" s="105">
        <v>294</v>
      </c>
      <c r="D628" s="107">
        <v>45706</v>
      </c>
      <c r="E628" s="38">
        <v>1</v>
      </c>
      <c r="F628" s="109" t="s">
        <v>30</v>
      </c>
      <c r="G628" s="38">
        <v>4</v>
      </c>
      <c r="H628" s="37"/>
    </row>
    <row r="629" spans="3:8" ht="15.75" thickBot="1" x14ac:dyDescent="0.3">
      <c r="C629" s="106"/>
      <c r="D629" s="108"/>
      <c r="E629" s="40">
        <v>5</v>
      </c>
      <c r="F629" s="110"/>
      <c r="G629" s="40"/>
      <c r="H629" s="39">
        <v>4</v>
      </c>
    </row>
    <row r="630" spans="3:8" x14ac:dyDescent="0.25">
      <c r="C630" s="105">
        <v>295</v>
      </c>
      <c r="D630" s="107">
        <v>45706</v>
      </c>
      <c r="E630" s="38">
        <v>1</v>
      </c>
      <c r="F630" s="109" t="s">
        <v>135</v>
      </c>
      <c r="G630" s="38">
        <v>11.5</v>
      </c>
      <c r="H630" s="37"/>
    </row>
    <row r="631" spans="3:8" ht="15.75" thickBot="1" x14ac:dyDescent="0.3">
      <c r="C631" s="106"/>
      <c r="D631" s="108"/>
      <c r="E631" s="40">
        <v>12</v>
      </c>
      <c r="F631" s="110"/>
      <c r="G631" s="40"/>
      <c r="H631" s="39">
        <v>11.5</v>
      </c>
    </row>
    <row r="632" spans="3:8" x14ac:dyDescent="0.25">
      <c r="C632" s="105">
        <v>296</v>
      </c>
      <c r="D632" s="107">
        <v>45707</v>
      </c>
      <c r="E632" s="38">
        <v>1</v>
      </c>
      <c r="F632" s="109" t="s">
        <v>309</v>
      </c>
      <c r="G632" s="38">
        <v>68</v>
      </c>
      <c r="H632" s="37"/>
    </row>
    <row r="633" spans="3:8" ht="15.75" thickBot="1" x14ac:dyDescent="0.3">
      <c r="C633" s="106"/>
      <c r="D633" s="108"/>
      <c r="E633" s="40">
        <v>11</v>
      </c>
      <c r="F633" s="110"/>
      <c r="G633" s="40"/>
      <c r="H633" s="39">
        <v>68</v>
      </c>
    </row>
    <row r="634" spans="3:8" x14ac:dyDescent="0.25">
      <c r="C634" s="105">
        <v>297</v>
      </c>
      <c r="D634" s="107">
        <v>45707</v>
      </c>
      <c r="E634" s="38">
        <v>4</v>
      </c>
      <c r="F634" s="109" t="s">
        <v>236</v>
      </c>
      <c r="G634" s="38">
        <v>75</v>
      </c>
      <c r="H634" s="37"/>
    </row>
    <row r="635" spans="3:8" ht="15.75" thickBot="1" x14ac:dyDescent="0.3">
      <c r="C635" s="106"/>
      <c r="D635" s="108"/>
      <c r="E635" s="40">
        <v>1</v>
      </c>
      <c r="F635" s="110"/>
      <c r="G635" s="40"/>
      <c r="H635" s="39">
        <v>75</v>
      </c>
    </row>
    <row r="636" spans="3:8" x14ac:dyDescent="0.25">
      <c r="C636" s="105">
        <v>298</v>
      </c>
      <c r="D636" s="107">
        <v>45707</v>
      </c>
      <c r="E636" s="38">
        <v>4</v>
      </c>
      <c r="F636" s="109" t="s">
        <v>236</v>
      </c>
      <c r="G636" s="38">
        <v>75</v>
      </c>
      <c r="H636" s="37"/>
    </row>
    <row r="637" spans="3:8" ht="15.75" thickBot="1" x14ac:dyDescent="0.3">
      <c r="C637" s="106"/>
      <c r="D637" s="108"/>
      <c r="E637" s="40">
        <v>1</v>
      </c>
      <c r="F637" s="110"/>
      <c r="G637" s="40"/>
      <c r="H637" s="39">
        <v>75</v>
      </c>
    </row>
    <row r="638" spans="3:8" x14ac:dyDescent="0.25">
      <c r="C638" s="105">
        <v>299</v>
      </c>
      <c r="D638" s="107">
        <v>45707</v>
      </c>
      <c r="E638" s="38">
        <v>1</v>
      </c>
      <c r="F638" s="109" t="s">
        <v>30</v>
      </c>
      <c r="G638" s="38">
        <v>2</v>
      </c>
      <c r="H638" s="37"/>
    </row>
    <row r="639" spans="3:8" ht="15.75" thickBot="1" x14ac:dyDescent="0.3">
      <c r="C639" s="106"/>
      <c r="D639" s="108"/>
      <c r="E639" s="40">
        <v>5</v>
      </c>
      <c r="F639" s="110"/>
      <c r="G639" s="40"/>
      <c r="H639" s="39">
        <v>2</v>
      </c>
    </row>
    <row r="640" spans="3:8" x14ac:dyDescent="0.25">
      <c r="C640" s="105">
        <v>300</v>
      </c>
      <c r="D640" s="107">
        <v>45708</v>
      </c>
      <c r="E640" s="38">
        <v>4</v>
      </c>
      <c r="F640" s="109" t="s">
        <v>236</v>
      </c>
      <c r="G640" s="38">
        <v>75</v>
      </c>
      <c r="H640" s="37"/>
    </row>
    <row r="641" spans="3:8" ht="15.75" thickBot="1" x14ac:dyDescent="0.3">
      <c r="C641" s="106"/>
      <c r="D641" s="108"/>
      <c r="E641" s="40">
        <v>1</v>
      </c>
      <c r="F641" s="110"/>
      <c r="G641" s="40"/>
      <c r="H641" s="39">
        <v>75</v>
      </c>
    </row>
    <row r="642" spans="3:8" x14ac:dyDescent="0.25">
      <c r="C642" s="105">
        <v>301</v>
      </c>
      <c r="D642" s="107">
        <v>45708</v>
      </c>
      <c r="E642" s="38">
        <v>3</v>
      </c>
      <c r="F642" s="109" t="s">
        <v>338</v>
      </c>
      <c r="G642" s="38">
        <v>2939</v>
      </c>
      <c r="H642" s="37"/>
    </row>
    <row r="643" spans="3:8" ht="15.75" thickBot="1" x14ac:dyDescent="0.3">
      <c r="C643" s="106"/>
      <c r="D643" s="108"/>
      <c r="E643" s="40">
        <v>1</v>
      </c>
      <c r="F643" s="110"/>
      <c r="G643" s="40"/>
      <c r="H643" s="39">
        <v>2939</v>
      </c>
    </row>
    <row r="644" spans="3:8" x14ac:dyDescent="0.25">
      <c r="C644" s="105">
        <v>302</v>
      </c>
      <c r="D644" s="107">
        <v>45708</v>
      </c>
      <c r="E644" s="38">
        <v>1</v>
      </c>
      <c r="F644" s="109" t="s">
        <v>30</v>
      </c>
      <c r="G644" s="38">
        <v>3.5</v>
      </c>
      <c r="H644" s="37"/>
    </row>
    <row r="645" spans="3:8" ht="15.75" thickBot="1" x14ac:dyDescent="0.3">
      <c r="C645" s="106"/>
      <c r="D645" s="108"/>
      <c r="E645" s="40">
        <v>5</v>
      </c>
      <c r="F645" s="110"/>
      <c r="G645" s="40"/>
      <c r="H645" s="39">
        <v>3.5</v>
      </c>
    </row>
    <row r="646" spans="3:8" x14ac:dyDescent="0.25">
      <c r="C646" s="105">
        <v>303</v>
      </c>
      <c r="D646" s="107">
        <v>45708</v>
      </c>
      <c r="E646" s="38">
        <v>1</v>
      </c>
      <c r="F646" s="109" t="s">
        <v>140</v>
      </c>
      <c r="G646" s="38">
        <v>180.7</v>
      </c>
      <c r="H646" s="37"/>
    </row>
    <row r="647" spans="3:8" ht="15.75" thickBot="1" x14ac:dyDescent="0.3">
      <c r="C647" s="106"/>
      <c r="D647" s="108"/>
      <c r="E647" s="40">
        <v>7</v>
      </c>
      <c r="F647" s="110"/>
      <c r="G647" s="40"/>
      <c r="H647" s="39">
        <v>180.7</v>
      </c>
    </row>
    <row r="648" spans="3:8" x14ac:dyDescent="0.25">
      <c r="C648" s="105">
        <v>304</v>
      </c>
      <c r="D648" s="107">
        <v>45708</v>
      </c>
      <c r="E648" s="38">
        <v>1</v>
      </c>
      <c r="F648" s="109" t="s">
        <v>135</v>
      </c>
      <c r="G648" s="38">
        <v>25</v>
      </c>
      <c r="H648" s="37"/>
    </row>
    <row r="649" spans="3:8" ht="15.75" thickBot="1" x14ac:dyDescent="0.3">
      <c r="C649" s="106"/>
      <c r="D649" s="108"/>
      <c r="E649" s="40">
        <v>12</v>
      </c>
      <c r="F649" s="110"/>
      <c r="G649" s="40"/>
      <c r="H649" s="39">
        <v>25</v>
      </c>
    </row>
    <row r="650" spans="3:8" x14ac:dyDescent="0.25">
      <c r="C650" s="105">
        <v>305</v>
      </c>
      <c r="D650" s="107">
        <v>45708</v>
      </c>
      <c r="E650" s="38">
        <v>12</v>
      </c>
      <c r="F650" s="109" t="s">
        <v>339</v>
      </c>
      <c r="G650" s="38">
        <v>20</v>
      </c>
      <c r="H650" s="37"/>
    </row>
    <row r="651" spans="3:8" ht="15.75" thickBot="1" x14ac:dyDescent="0.3">
      <c r="C651" s="106"/>
      <c r="D651" s="108"/>
      <c r="E651" s="40">
        <v>1</v>
      </c>
      <c r="F651" s="110"/>
      <c r="G651" s="40"/>
      <c r="H651" s="39">
        <v>20</v>
      </c>
    </row>
    <row r="652" spans="3:8" x14ac:dyDescent="0.25">
      <c r="C652" s="105">
        <v>306</v>
      </c>
      <c r="D652" s="107">
        <v>45709</v>
      </c>
      <c r="E652" s="38">
        <v>4</v>
      </c>
      <c r="F652" s="109" t="s">
        <v>311</v>
      </c>
      <c r="G652" s="38">
        <v>75</v>
      </c>
      <c r="H652" s="37"/>
    </row>
    <row r="653" spans="3:8" ht="15.75" thickBot="1" x14ac:dyDescent="0.3">
      <c r="C653" s="106"/>
      <c r="D653" s="108"/>
      <c r="E653" s="40">
        <v>1</v>
      </c>
      <c r="F653" s="110"/>
      <c r="G653" s="40"/>
      <c r="H653" s="39">
        <v>75</v>
      </c>
    </row>
    <row r="654" spans="3:8" x14ac:dyDescent="0.25">
      <c r="C654" s="105">
        <v>307</v>
      </c>
      <c r="D654" s="107">
        <v>45709</v>
      </c>
      <c r="E654" s="38">
        <v>4</v>
      </c>
      <c r="F654" s="109" t="s">
        <v>185</v>
      </c>
      <c r="G654" s="38">
        <v>75</v>
      </c>
      <c r="H654" s="37"/>
    </row>
    <row r="655" spans="3:8" ht="15.75" thickBot="1" x14ac:dyDescent="0.3">
      <c r="C655" s="106"/>
      <c r="D655" s="108"/>
      <c r="E655" s="40">
        <v>1</v>
      </c>
      <c r="F655" s="110"/>
      <c r="G655" s="40"/>
      <c r="H655" s="39">
        <v>75</v>
      </c>
    </row>
    <row r="656" spans="3:8" x14ac:dyDescent="0.25">
      <c r="C656" s="105">
        <v>308</v>
      </c>
      <c r="D656" s="107">
        <v>45709</v>
      </c>
      <c r="E656" s="38">
        <v>4</v>
      </c>
      <c r="F656" s="109" t="s">
        <v>311</v>
      </c>
      <c r="G656" s="38">
        <v>75</v>
      </c>
      <c r="H656" s="37"/>
    </row>
    <row r="657" spans="3:8" ht="15.75" thickBot="1" x14ac:dyDescent="0.3">
      <c r="C657" s="106"/>
      <c r="D657" s="108"/>
      <c r="E657" s="40">
        <v>1</v>
      </c>
      <c r="F657" s="110"/>
      <c r="G657" s="40"/>
      <c r="H657" s="39">
        <v>75</v>
      </c>
    </row>
    <row r="658" spans="3:8" x14ac:dyDescent="0.25">
      <c r="C658" s="105">
        <v>309</v>
      </c>
      <c r="D658" s="107">
        <v>45709</v>
      </c>
      <c r="E658" s="38">
        <v>1</v>
      </c>
      <c r="F658" s="109" t="s">
        <v>7</v>
      </c>
      <c r="G658" s="38">
        <v>585.13</v>
      </c>
      <c r="H658" s="37"/>
    </row>
    <row r="659" spans="3:8" ht="15.75" thickBot="1" x14ac:dyDescent="0.3">
      <c r="C659" s="106"/>
      <c r="D659" s="108"/>
      <c r="E659" s="40">
        <v>2</v>
      </c>
      <c r="F659" s="110"/>
      <c r="G659" s="40"/>
      <c r="H659" s="39">
        <v>585.13</v>
      </c>
    </row>
    <row r="660" spans="3:8" x14ac:dyDescent="0.25">
      <c r="C660" s="105">
        <v>310</v>
      </c>
      <c r="D660" s="107">
        <v>45709</v>
      </c>
      <c r="E660" s="38">
        <v>1</v>
      </c>
      <c r="F660" s="109" t="s">
        <v>30</v>
      </c>
      <c r="G660" s="38">
        <v>4</v>
      </c>
      <c r="H660" s="37"/>
    </row>
    <row r="661" spans="3:8" ht="15.75" thickBot="1" x14ac:dyDescent="0.3">
      <c r="C661" s="106"/>
      <c r="D661" s="108"/>
      <c r="E661" s="40">
        <v>5</v>
      </c>
      <c r="F661" s="110"/>
      <c r="G661" s="40"/>
      <c r="H661" s="39">
        <v>4</v>
      </c>
    </row>
    <row r="662" spans="3:8" x14ac:dyDescent="0.25">
      <c r="C662" s="105">
        <v>311</v>
      </c>
      <c r="D662" s="107">
        <v>45710</v>
      </c>
      <c r="E662" s="38">
        <v>15</v>
      </c>
      <c r="F662" s="109" t="s">
        <v>320</v>
      </c>
      <c r="G662" s="38">
        <v>50</v>
      </c>
      <c r="H662" s="37"/>
    </row>
    <row r="663" spans="3:8" ht="15.75" thickBot="1" x14ac:dyDescent="0.3">
      <c r="C663" s="106"/>
      <c r="D663" s="108"/>
      <c r="E663" s="40">
        <v>1</v>
      </c>
      <c r="F663" s="110"/>
      <c r="G663" s="40"/>
      <c r="H663" s="39">
        <v>50</v>
      </c>
    </row>
    <row r="664" spans="3:8" x14ac:dyDescent="0.25">
      <c r="C664" s="105">
        <v>312</v>
      </c>
      <c r="D664" s="107">
        <v>45710</v>
      </c>
      <c r="E664" s="38">
        <v>1</v>
      </c>
      <c r="F664" s="109" t="s">
        <v>321</v>
      </c>
      <c r="G664" s="38">
        <v>25.5</v>
      </c>
      <c r="H664" s="37"/>
    </row>
    <row r="665" spans="3:8" ht="15.75" thickBot="1" x14ac:dyDescent="0.3">
      <c r="C665" s="106"/>
      <c r="D665" s="108"/>
      <c r="E665" s="40">
        <v>12</v>
      </c>
      <c r="F665" s="110"/>
      <c r="G665" s="40"/>
      <c r="H665" s="39">
        <v>25.5</v>
      </c>
    </row>
    <row r="666" spans="3:8" x14ac:dyDescent="0.25">
      <c r="C666" s="105">
        <v>313</v>
      </c>
      <c r="D666" s="107">
        <v>45711</v>
      </c>
      <c r="E666" s="38">
        <v>1</v>
      </c>
      <c r="F666" s="109" t="s">
        <v>345</v>
      </c>
      <c r="G666" s="38">
        <v>174.82</v>
      </c>
      <c r="H666" s="37"/>
    </row>
    <row r="667" spans="3:8" ht="15.75" thickBot="1" x14ac:dyDescent="0.3">
      <c r="C667" s="106"/>
      <c r="D667" s="108"/>
      <c r="E667" s="40">
        <v>12</v>
      </c>
      <c r="F667" s="110"/>
      <c r="G667" s="40"/>
      <c r="H667" s="39">
        <v>174.82</v>
      </c>
    </row>
    <row r="668" spans="3:8" x14ac:dyDescent="0.25">
      <c r="C668" s="105">
        <v>314</v>
      </c>
      <c r="D668" s="107">
        <v>45711</v>
      </c>
      <c r="E668" s="38">
        <v>4</v>
      </c>
      <c r="F668" s="109" t="s">
        <v>136</v>
      </c>
      <c r="G668" s="38">
        <v>100</v>
      </c>
      <c r="H668" s="37"/>
    </row>
    <row r="669" spans="3:8" ht="15.75" thickBot="1" x14ac:dyDescent="0.3">
      <c r="C669" s="106"/>
      <c r="D669" s="108"/>
      <c r="E669" s="40">
        <v>1</v>
      </c>
      <c r="F669" s="110"/>
      <c r="G669" s="40"/>
      <c r="H669" s="39">
        <v>100</v>
      </c>
    </row>
    <row r="670" spans="3:8" x14ac:dyDescent="0.25">
      <c r="C670" s="105">
        <v>315</v>
      </c>
      <c r="D670" s="107">
        <v>45711</v>
      </c>
      <c r="E670" s="38">
        <v>4</v>
      </c>
      <c r="F670" s="109" t="s">
        <v>261</v>
      </c>
      <c r="G670" s="38">
        <v>110</v>
      </c>
      <c r="H670" s="37"/>
    </row>
    <row r="671" spans="3:8" ht="15.75" thickBot="1" x14ac:dyDescent="0.3">
      <c r="C671" s="106"/>
      <c r="D671" s="108"/>
      <c r="E671" s="40">
        <v>1</v>
      </c>
      <c r="F671" s="110"/>
      <c r="G671" s="40"/>
      <c r="H671" s="39">
        <v>110</v>
      </c>
    </row>
    <row r="672" spans="3:8" x14ac:dyDescent="0.25">
      <c r="C672" s="105">
        <v>316</v>
      </c>
      <c r="D672" s="107">
        <v>45711</v>
      </c>
      <c r="E672" s="38">
        <v>1</v>
      </c>
      <c r="F672" s="109" t="s">
        <v>30</v>
      </c>
      <c r="G672" s="38">
        <v>3</v>
      </c>
      <c r="H672" s="37"/>
    </row>
    <row r="673" spans="3:8" ht="15.75" thickBot="1" x14ac:dyDescent="0.3">
      <c r="C673" s="106"/>
      <c r="D673" s="108"/>
      <c r="E673" s="40">
        <v>5</v>
      </c>
      <c r="F673" s="110"/>
      <c r="G673" s="40"/>
      <c r="H673" s="39">
        <v>3</v>
      </c>
    </row>
    <row r="674" spans="3:8" x14ac:dyDescent="0.25">
      <c r="C674" s="105">
        <v>317</v>
      </c>
      <c r="D674" s="107">
        <v>45711</v>
      </c>
      <c r="E674" s="38">
        <v>4</v>
      </c>
      <c r="F674" s="109" t="s">
        <v>136</v>
      </c>
      <c r="G674" s="38">
        <v>95</v>
      </c>
      <c r="H674" s="37"/>
    </row>
    <row r="675" spans="3:8" ht="15.75" thickBot="1" x14ac:dyDescent="0.3">
      <c r="C675" s="106"/>
      <c r="D675" s="108"/>
      <c r="E675" s="40">
        <v>1</v>
      </c>
      <c r="F675" s="110"/>
      <c r="G675" s="40"/>
      <c r="H675" s="39">
        <v>95</v>
      </c>
    </row>
    <row r="676" spans="3:8" x14ac:dyDescent="0.25">
      <c r="C676" s="105">
        <v>318</v>
      </c>
      <c r="D676" s="107">
        <v>45711</v>
      </c>
      <c r="E676" s="38">
        <v>1</v>
      </c>
      <c r="F676" s="109" t="s">
        <v>346</v>
      </c>
      <c r="G676" s="38">
        <v>51</v>
      </c>
      <c r="H676" s="37"/>
    </row>
    <row r="677" spans="3:8" ht="15.75" thickBot="1" x14ac:dyDescent="0.3">
      <c r="C677" s="106"/>
      <c r="D677" s="108"/>
      <c r="E677" s="40">
        <v>12</v>
      </c>
      <c r="F677" s="110"/>
      <c r="G677" s="40"/>
      <c r="H677" s="39">
        <v>51</v>
      </c>
    </row>
    <row r="678" spans="3:8" x14ac:dyDescent="0.25">
      <c r="C678" s="105">
        <v>319</v>
      </c>
      <c r="D678" s="107">
        <v>45711</v>
      </c>
      <c r="E678" s="38">
        <v>1</v>
      </c>
      <c r="F678" s="109" t="s">
        <v>134</v>
      </c>
      <c r="G678" s="38">
        <v>8.3000000000000007</v>
      </c>
      <c r="H678" s="37"/>
    </row>
    <row r="679" spans="3:8" ht="15.75" thickBot="1" x14ac:dyDescent="0.3">
      <c r="C679" s="106"/>
      <c r="D679" s="108"/>
      <c r="E679" s="40">
        <v>7</v>
      </c>
      <c r="F679" s="110"/>
      <c r="G679" s="40"/>
      <c r="H679" s="39">
        <v>8.3000000000000007</v>
      </c>
    </row>
    <row r="680" spans="3:8" x14ac:dyDescent="0.25">
      <c r="C680" s="105">
        <v>320</v>
      </c>
      <c r="D680" s="107">
        <v>45712</v>
      </c>
      <c r="E680" s="38">
        <v>4</v>
      </c>
      <c r="F680" s="109" t="s">
        <v>133</v>
      </c>
      <c r="G680" s="38">
        <v>100</v>
      </c>
      <c r="H680" s="37"/>
    </row>
    <row r="681" spans="3:8" ht="15.75" thickBot="1" x14ac:dyDescent="0.3">
      <c r="C681" s="106"/>
      <c r="D681" s="108"/>
      <c r="E681" s="40">
        <v>1</v>
      </c>
      <c r="F681" s="110"/>
      <c r="G681" s="40"/>
      <c r="H681" s="39">
        <v>100</v>
      </c>
    </row>
    <row r="682" spans="3:8" x14ac:dyDescent="0.25">
      <c r="C682" s="105">
        <v>321</v>
      </c>
      <c r="D682" s="107">
        <v>45712</v>
      </c>
      <c r="E682" s="38">
        <v>4</v>
      </c>
      <c r="F682" s="109" t="s">
        <v>261</v>
      </c>
      <c r="G682" s="38">
        <v>110</v>
      </c>
      <c r="H682" s="37"/>
    </row>
    <row r="683" spans="3:8" ht="15.75" thickBot="1" x14ac:dyDescent="0.3">
      <c r="C683" s="106"/>
      <c r="D683" s="108"/>
      <c r="E683" s="40">
        <v>1</v>
      </c>
      <c r="F683" s="110"/>
      <c r="G683" s="40"/>
      <c r="H683" s="39">
        <v>110</v>
      </c>
    </row>
    <row r="684" spans="3:8" x14ac:dyDescent="0.25">
      <c r="C684" s="105">
        <v>322</v>
      </c>
      <c r="D684" s="107">
        <v>45712</v>
      </c>
      <c r="E684" s="38">
        <v>4</v>
      </c>
      <c r="F684" s="109" t="s">
        <v>347</v>
      </c>
      <c r="G684" s="38">
        <v>340</v>
      </c>
      <c r="H684" s="37"/>
    </row>
    <row r="685" spans="3:8" ht="15.75" thickBot="1" x14ac:dyDescent="0.3">
      <c r="C685" s="106"/>
      <c r="D685" s="108"/>
      <c r="E685" s="40">
        <v>1</v>
      </c>
      <c r="F685" s="110"/>
      <c r="G685" s="40"/>
      <c r="H685" s="39">
        <v>340</v>
      </c>
    </row>
    <row r="686" spans="3:8" x14ac:dyDescent="0.25">
      <c r="C686" s="105">
        <v>323</v>
      </c>
      <c r="D686" s="107">
        <v>45712</v>
      </c>
      <c r="E686" s="38">
        <v>4</v>
      </c>
      <c r="F686" s="109" t="s">
        <v>261</v>
      </c>
      <c r="G686" s="38">
        <v>80</v>
      </c>
      <c r="H686" s="37"/>
    </row>
    <row r="687" spans="3:8" ht="15.75" thickBot="1" x14ac:dyDescent="0.3">
      <c r="C687" s="106"/>
      <c r="D687" s="108"/>
      <c r="E687" s="40">
        <v>1</v>
      </c>
      <c r="F687" s="110"/>
      <c r="G687" s="40"/>
      <c r="H687" s="39">
        <v>80</v>
      </c>
    </row>
    <row r="688" spans="3:8" x14ac:dyDescent="0.25">
      <c r="C688" s="105">
        <v>324</v>
      </c>
      <c r="D688" s="107">
        <v>45712</v>
      </c>
      <c r="E688" s="38">
        <v>4</v>
      </c>
      <c r="F688" s="109" t="s">
        <v>348</v>
      </c>
      <c r="G688" s="38">
        <v>190</v>
      </c>
      <c r="H688" s="37"/>
    </row>
    <row r="689" spans="3:8" ht="15.75" thickBot="1" x14ac:dyDescent="0.3">
      <c r="C689" s="106"/>
      <c r="D689" s="108"/>
      <c r="E689" s="40">
        <v>1</v>
      </c>
      <c r="F689" s="110"/>
      <c r="G689" s="40"/>
      <c r="H689" s="39">
        <v>190</v>
      </c>
    </row>
    <row r="690" spans="3:8" x14ac:dyDescent="0.25">
      <c r="C690" s="105">
        <v>325</v>
      </c>
      <c r="D690" s="107">
        <v>45712</v>
      </c>
      <c r="E690" s="38">
        <v>1</v>
      </c>
      <c r="F690" s="109" t="s">
        <v>135</v>
      </c>
      <c r="G690" s="38">
        <v>5</v>
      </c>
      <c r="H690" s="37"/>
    </row>
    <row r="691" spans="3:8" ht="15.75" thickBot="1" x14ac:dyDescent="0.3">
      <c r="C691" s="106"/>
      <c r="D691" s="108"/>
      <c r="E691" s="40">
        <v>12</v>
      </c>
      <c r="F691" s="110"/>
      <c r="G691" s="40"/>
      <c r="H691" s="39">
        <v>5</v>
      </c>
    </row>
    <row r="692" spans="3:8" x14ac:dyDescent="0.25">
      <c r="C692" s="105">
        <v>326</v>
      </c>
      <c r="D692" s="107">
        <v>45712</v>
      </c>
      <c r="E692" s="38">
        <v>1</v>
      </c>
      <c r="F692" s="109" t="s">
        <v>30</v>
      </c>
      <c r="G692" s="38">
        <v>8.5</v>
      </c>
      <c r="H692" s="37"/>
    </row>
    <row r="693" spans="3:8" ht="15.75" thickBot="1" x14ac:dyDescent="0.3">
      <c r="C693" s="106"/>
      <c r="D693" s="108"/>
      <c r="E693" s="40">
        <v>5</v>
      </c>
      <c r="F693" s="110"/>
      <c r="G693" s="40"/>
      <c r="H693" s="39">
        <v>8.5</v>
      </c>
    </row>
    <row r="694" spans="3:8" x14ac:dyDescent="0.25">
      <c r="C694" s="105">
        <v>327</v>
      </c>
      <c r="D694" s="107">
        <v>45712</v>
      </c>
      <c r="E694" s="38">
        <v>1</v>
      </c>
      <c r="F694" s="109" t="s">
        <v>7</v>
      </c>
      <c r="G694" s="38">
        <v>752</v>
      </c>
      <c r="H694" s="37"/>
    </row>
    <row r="695" spans="3:8" ht="15.75" thickBot="1" x14ac:dyDescent="0.3">
      <c r="C695" s="106"/>
      <c r="D695" s="108"/>
      <c r="E695" s="40">
        <v>2</v>
      </c>
      <c r="F695" s="110"/>
      <c r="G695" s="40"/>
      <c r="H695" s="39">
        <v>752</v>
      </c>
    </row>
    <row r="696" spans="3:8" x14ac:dyDescent="0.25">
      <c r="C696" s="105">
        <v>328</v>
      </c>
      <c r="D696" s="107">
        <v>45713</v>
      </c>
      <c r="E696" s="38">
        <v>1</v>
      </c>
      <c r="F696" s="109" t="s">
        <v>7</v>
      </c>
      <c r="G696" s="38">
        <v>5792</v>
      </c>
      <c r="H696" s="37"/>
    </row>
    <row r="697" spans="3:8" ht="15.75" thickBot="1" x14ac:dyDescent="0.3">
      <c r="C697" s="106"/>
      <c r="D697" s="108"/>
      <c r="E697" s="40">
        <v>2</v>
      </c>
      <c r="F697" s="110"/>
      <c r="G697" s="40"/>
      <c r="H697" s="39">
        <v>5792</v>
      </c>
    </row>
    <row r="698" spans="3:8" x14ac:dyDescent="0.25">
      <c r="C698" s="105">
        <v>329</v>
      </c>
      <c r="D698" s="107">
        <v>45713</v>
      </c>
      <c r="E698" s="38">
        <v>1</v>
      </c>
      <c r="F698" s="109" t="s">
        <v>356</v>
      </c>
      <c r="G698" s="38">
        <v>25</v>
      </c>
      <c r="H698" s="37"/>
    </row>
    <row r="699" spans="3:8" ht="15.75" thickBot="1" x14ac:dyDescent="0.3">
      <c r="C699" s="106"/>
      <c r="D699" s="108"/>
      <c r="E699" s="40">
        <v>9</v>
      </c>
      <c r="F699" s="110"/>
      <c r="G699" s="40"/>
      <c r="H699" s="39">
        <v>25</v>
      </c>
    </row>
    <row r="700" spans="3:8" x14ac:dyDescent="0.25">
      <c r="C700" s="105">
        <v>330</v>
      </c>
      <c r="D700" s="107">
        <v>45713</v>
      </c>
      <c r="E700" s="38">
        <v>4</v>
      </c>
      <c r="F700" s="109" t="s">
        <v>236</v>
      </c>
      <c r="G700" s="38">
        <v>100</v>
      </c>
      <c r="H700" s="37"/>
    </row>
    <row r="701" spans="3:8" ht="15.75" thickBot="1" x14ac:dyDescent="0.3">
      <c r="C701" s="106"/>
      <c r="D701" s="108"/>
      <c r="E701" s="40">
        <v>1</v>
      </c>
      <c r="F701" s="110"/>
      <c r="G701" s="40"/>
      <c r="H701" s="39">
        <v>100</v>
      </c>
    </row>
    <row r="702" spans="3:8" x14ac:dyDescent="0.25">
      <c r="C702" s="105">
        <v>331</v>
      </c>
      <c r="D702" s="107">
        <v>45713</v>
      </c>
      <c r="E702" s="38">
        <v>4</v>
      </c>
      <c r="F702" s="109" t="s">
        <v>357</v>
      </c>
      <c r="G702" s="38">
        <v>260</v>
      </c>
      <c r="H702" s="37"/>
    </row>
    <row r="703" spans="3:8" ht="15.75" thickBot="1" x14ac:dyDescent="0.3">
      <c r="C703" s="106"/>
      <c r="D703" s="108"/>
      <c r="E703" s="40">
        <v>1</v>
      </c>
      <c r="F703" s="110"/>
      <c r="G703" s="40"/>
      <c r="H703" s="39">
        <v>260</v>
      </c>
    </row>
    <row r="704" spans="3:8" x14ac:dyDescent="0.25">
      <c r="C704" s="105">
        <v>332</v>
      </c>
      <c r="D704" s="107">
        <v>45713</v>
      </c>
      <c r="E704" s="38">
        <v>3</v>
      </c>
      <c r="F704" s="109" t="s">
        <v>373</v>
      </c>
      <c r="G704" s="38">
        <v>1073</v>
      </c>
      <c r="H704" s="37"/>
    </row>
    <row r="705" spans="3:8" ht="15.75" thickBot="1" x14ac:dyDescent="0.3">
      <c r="C705" s="106"/>
      <c r="D705" s="108"/>
      <c r="E705" s="40">
        <v>1</v>
      </c>
      <c r="F705" s="110"/>
      <c r="G705" s="40"/>
      <c r="H705" s="39">
        <v>1073</v>
      </c>
    </row>
    <row r="706" spans="3:8" x14ac:dyDescent="0.25">
      <c r="C706" s="105">
        <v>333</v>
      </c>
      <c r="D706" s="107">
        <v>45713</v>
      </c>
      <c r="E706" s="38">
        <v>3</v>
      </c>
      <c r="F706" s="109" t="s">
        <v>359</v>
      </c>
      <c r="G706" s="38">
        <v>935</v>
      </c>
      <c r="H706" s="37"/>
    </row>
    <row r="707" spans="3:8" ht="15.75" thickBot="1" x14ac:dyDescent="0.3">
      <c r="C707" s="106"/>
      <c r="D707" s="108"/>
      <c r="E707" s="40">
        <v>1</v>
      </c>
      <c r="F707" s="110"/>
      <c r="G707" s="40"/>
      <c r="H707" s="39">
        <v>935</v>
      </c>
    </row>
    <row r="708" spans="3:8" x14ac:dyDescent="0.25">
      <c r="C708" s="105">
        <v>334</v>
      </c>
      <c r="D708" s="107">
        <v>45713</v>
      </c>
      <c r="E708" s="38">
        <v>1</v>
      </c>
      <c r="F708" s="109" t="s">
        <v>30</v>
      </c>
      <c r="G708" s="38">
        <v>9</v>
      </c>
      <c r="H708" s="37"/>
    </row>
    <row r="709" spans="3:8" ht="15.75" thickBot="1" x14ac:dyDescent="0.3">
      <c r="C709" s="106"/>
      <c r="D709" s="108"/>
      <c r="E709" s="40">
        <v>5</v>
      </c>
      <c r="F709" s="110"/>
      <c r="G709" s="40"/>
      <c r="H709" s="39">
        <v>9</v>
      </c>
    </row>
    <row r="710" spans="3:8" x14ac:dyDescent="0.25">
      <c r="C710" s="105">
        <v>335</v>
      </c>
      <c r="D710" s="107">
        <v>45713</v>
      </c>
      <c r="E710" s="38">
        <v>5</v>
      </c>
      <c r="F710" s="109" t="s">
        <v>239</v>
      </c>
      <c r="G710" s="38">
        <v>8</v>
      </c>
      <c r="H710" s="37"/>
    </row>
    <row r="711" spans="3:8" ht="15.75" thickBot="1" x14ac:dyDescent="0.3">
      <c r="C711" s="106"/>
      <c r="D711" s="108"/>
      <c r="E711" s="40">
        <v>1</v>
      </c>
      <c r="F711" s="110"/>
      <c r="G711" s="40"/>
      <c r="H711" s="39">
        <v>8</v>
      </c>
    </row>
    <row r="712" spans="3:8" x14ac:dyDescent="0.25">
      <c r="C712" s="105">
        <v>336</v>
      </c>
      <c r="D712" s="107">
        <v>45714</v>
      </c>
      <c r="E712" s="38">
        <v>4</v>
      </c>
      <c r="F712" s="109" t="s">
        <v>311</v>
      </c>
      <c r="G712" s="38">
        <v>100</v>
      </c>
      <c r="H712" s="37"/>
    </row>
    <row r="713" spans="3:8" ht="15.75" thickBot="1" x14ac:dyDescent="0.3">
      <c r="C713" s="106"/>
      <c r="D713" s="108"/>
      <c r="E713" s="40">
        <v>1</v>
      </c>
      <c r="F713" s="110"/>
      <c r="G713" s="40"/>
      <c r="H713" s="39">
        <v>100</v>
      </c>
    </row>
    <row r="714" spans="3:8" x14ac:dyDescent="0.25">
      <c r="C714" s="105">
        <v>337</v>
      </c>
      <c r="D714" s="107">
        <v>45714</v>
      </c>
      <c r="E714" s="38">
        <v>1</v>
      </c>
      <c r="F714" s="109" t="s">
        <v>30</v>
      </c>
      <c r="G714" s="38">
        <v>6.2</v>
      </c>
      <c r="H714" s="37"/>
    </row>
    <row r="715" spans="3:8" ht="15.75" thickBot="1" x14ac:dyDescent="0.3">
      <c r="C715" s="106"/>
      <c r="D715" s="108"/>
      <c r="E715" s="40">
        <v>5</v>
      </c>
      <c r="F715" s="110"/>
      <c r="G715" s="40"/>
      <c r="H715" s="39">
        <v>6.2</v>
      </c>
    </row>
    <row r="716" spans="3:8" x14ac:dyDescent="0.25">
      <c r="C716" s="105">
        <v>338</v>
      </c>
      <c r="D716" s="107">
        <v>45714</v>
      </c>
      <c r="E716" s="38">
        <v>1</v>
      </c>
      <c r="F716" s="109" t="s">
        <v>140</v>
      </c>
      <c r="G716" s="38">
        <v>155.9</v>
      </c>
      <c r="H716" s="37"/>
    </row>
    <row r="717" spans="3:8" ht="15.75" thickBot="1" x14ac:dyDescent="0.3">
      <c r="C717" s="106"/>
      <c r="D717" s="108"/>
      <c r="E717" s="40">
        <v>7</v>
      </c>
      <c r="F717" s="110"/>
      <c r="G717" s="40"/>
      <c r="H717" s="39">
        <v>155.9</v>
      </c>
    </row>
    <row r="718" spans="3:8" x14ac:dyDescent="0.25">
      <c r="C718" s="105">
        <v>339</v>
      </c>
      <c r="D718" s="107">
        <v>45714</v>
      </c>
      <c r="E718" s="38">
        <v>1</v>
      </c>
      <c r="F718" s="109" t="s">
        <v>361</v>
      </c>
      <c r="G718" s="38">
        <v>480</v>
      </c>
      <c r="H718" s="37"/>
    </row>
    <row r="719" spans="3:8" ht="15.75" thickBot="1" x14ac:dyDescent="0.3">
      <c r="C719" s="106"/>
      <c r="D719" s="108"/>
      <c r="E719" s="40">
        <v>8</v>
      </c>
      <c r="F719" s="110"/>
      <c r="G719" s="40"/>
      <c r="H719" s="39">
        <v>480</v>
      </c>
    </row>
    <row r="720" spans="3:8" x14ac:dyDescent="0.25">
      <c r="C720" s="105">
        <v>340</v>
      </c>
      <c r="D720" s="107">
        <v>45714</v>
      </c>
      <c r="E720" s="38">
        <v>1</v>
      </c>
      <c r="F720" s="109" t="s">
        <v>362</v>
      </c>
      <c r="G720" s="38">
        <v>30</v>
      </c>
      <c r="H720" s="37"/>
    </row>
    <row r="721" spans="3:8" ht="15.75" thickBot="1" x14ac:dyDescent="0.3">
      <c r="C721" s="106"/>
      <c r="D721" s="108"/>
      <c r="E721" s="40">
        <v>12</v>
      </c>
      <c r="F721" s="110"/>
      <c r="G721" s="40"/>
      <c r="H721" s="39">
        <v>30</v>
      </c>
    </row>
    <row r="722" spans="3:8" x14ac:dyDescent="0.25">
      <c r="C722" s="105">
        <v>341</v>
      </c>
      <c r="D722" s="107">
        <v>45714</v>
      </c>
      <c r="E722" s="38">
        <v>4</v>
      </c>
      <c r="F722" s="109" t="s">
        <v>236</v>
      </c>
      <c r="G722" s="38">
        <v>75</v>
      </c>
      <c r="H722" s="37"/>
    </row>
    <row r="723" spans="3:8" ht="15.75" thickBot="1" x14ac:dyDescent="0.3">
      <c r="C723" s="106"/>
      <c r="D723" s="108"/>
      <c r="E723" s="40">
        <v>1</v>
      </c>
      <c r="F723" s="110"/>
      <c r="G723" s="40"/>
      <c r="H723" s="39">
        <v>75</v>
      </c>
    </row>
    <row r="724" spans="3:8" x14ac:dyDescent="0.25">
      <c r="C724" s="105">
        <v>342</v>
      </c>
      <c r="D724" s="107">
        <v>45714</v>
      </c>
      <c r="E724" s="38">
        <v>4</v>
      </c>
      <c r="F724" s="109" t="s">
        <v>236</v>
      </c>
      <c r="G724" s="38">
        <v>75</v>
      </c>
      <c r="H724" s="37"/>
    </row>
    <row r="725" spans="3:8" ht="15.75" thickBot="1" x14ac:dyDescent="0.3">
      <c r="C725" s="106"/>
      <c r="D725" s="108"/>
      <c r="E725" s="40">
        <v>1</v>
      </c>
      <c r="F725" s="110"/>
      <c r="G725" s="40"/>
      <c r="H725" s="39">
        <v>75</v>
      </c>
    </row>
    <row r="726" spans="3:8" x14ac:dyDescent="0.25">
      <c r="C726" s="105">
        <v>343</v>
      </c>
      <c r="D726" s="107">
        <v>45714</v>
      </c>
      <c r="E726" s="38">
        <v>4</v>
      </c>
      <c r="F726" s="109" t="s">
        <v>337</v>
      </c>
      <c r="G726" s="38">
        <v>75</v>
      </c>
      <c r="H726" s="37"/>
    </row>
    <row r="727" spans="3:8" ht="15.75" thickBot="1" x14ac:dyDescent="0.3">
      <c r="C727" s="106"/>
      <c r="D727" s="108"/>
      <c r="E727" s="40">
        <v>1</v>
      </c>
      <c r="F727" s="110"/>
      <c r="G727" s="40"/>
      <c r="H727" s="39">
        <v>75</v>
      </c>
    </row>
    <row r="728" spans="3:8" x14ac:dyDescent="0.25">
      <c r="C728" s="105">
        <v>344</v>
      </c>
      <c r="D728" s="107">
        <v>45715</v>
      </c>
      <c r="E728" s="38">
        <v>1</v>
      </c>
      <c r="F728" s="109" t="s">
        <v>309</v>
      </c>
      <c r="G728" s="38">
        <v>44</v>
      </c>
      <c r="H728" s="37"/>
    </row>
    <row r="729" spans="3:8" ht="15.75" thickBot="1" x14ac:dyDescent="0.3">
      <c r="C729" s="106"/>
      <c r="D729" s="108"/>
      <c r="E729" s="40">
        <v>11</v>
      </c>
      <c r="F729" s="110"/>
      <c r="G729" s="40"/>
      <c r="H729" s="39">
        <v>44</v>
      </c>
    </row>
    <row r="730" spans="3:8" x14ac:dyDescent="0.25">
      <c r="C730" s="105">
        <v>345</v>
      </c>
      <c r="D730" s="107">
        <v>45715</v>
      </c>
      <c r="E730" s="38">
        <v>1</v>
      </c>
      <c r="F730" s="109" t="s">
        <v>134</v>
      </c>
      <c r="G730" s="38">
        <v>19</v>
      </c>
      <c r="H730" s="37"/>
    </row>
    <row r="731" spans="3:8" ht="15.75" thickBot="1" x14ac:dyDescent="0.3">
      <c r="C731" s="106"/>
      <c r="D731" s="108"/>
      <c r="E731" s="40">
        <v>7</v>
      </c>
      <c r="F731" s="110"/>
      <c r="G731" s="40"/>
      <c r="H731" s="39">
        <v>19</v>
      </c>
    </row>
    <row r="732" spans="3:8" x14ac:dyDescent="0.25">
      <c r="C732" s="105">
        <v>346</v>
      </c>
      <c r="D732" s="107">
        <v>45715</v>
      </c>
      <c r="E732" s="38">
        <v>1</v>
      </c>
      <c r="F732" s="109" t="s">
        <v>135</v>
      </c>
      <c r="G732" s="38">
        <v>9</v>
      </c>
      <c r="H732" s="37"/>
    </row>
    <row r="733" spans="3:8" ht="15.75" thickBot="1" x14ac:dyDescent="0.3">
      <c r="C733" s="106"/>
      <c r="D733" s="108"/>
      <c r="E733" s="40">
        <v>12</v>
      </c>
      <c r="F733" s="110"/>
      <c r="G733" s="40"/>
      <c r="H733" s="39">
        <v>9</v>
      </c>
    </row>
    <row r="734" spans="3:8" x14ac:dyDescent="0.25">
      <c r="C734" s="105">
        <v>347</v>
      </c>
      <c r="D734" s="107">
        <v>45715</v>
      </c>
      <c r="E734" s="38">
        <v>1</v>
      </c>
      <c r="F734" s="109" t="s">
        <v>30</v>
      </c>
      <c r="G734" s="38">
        <v>2.4</v>
      </c>
      <c r="H734" s="37"/>
    </row>
    <row r="735" spans="3:8" ht="15.75" thickBot="1" x14ac:dyDescent="0.3">
      <c r="C735" s="106"/>
      <c r="D735" s="108"/>
      <c r="E735" s="40">
        <v>5</v>
      </c>
      <c r="F735" s="110"/>
      <c r="G735" s="40"/>
      <c r="H735" s="39">
        <v>2.4</v>
      </c>
    </row>
    <row r="736" spans="3:8" x14ac:dyDescent="0.25">
      <c r="C736" s="105">
        <v>348</v>
      </c>
      <c r="D736" s="107">
        <v>45716</v>
      </c>
      <c r="E736" s="38">
        <v>1</v>
      </c>
      <c r="F736" s="109" t="s">
        <v>267</v>
      </c>
      <c r="G736" s="38">
        <v>50</v>
      </c>
      <c r="H736" s="37"/>
    </row>
    <row r="737" spans="3:12" ht="15.75" thickBot="1" x14ac:dyDescent="0.3">
      <c r="C737" s="106"/>
      <c r="D737" s="108"/>
      <c r="E737" s="40">
        <v>12</v>
      </c>
      <c r="F737" s="110"/>
      <c r="G737" s="40"/>
      <c r="H737" s="39">
        <v>50</v>
      </c>
    </row>
    <row r="738" spans="3:12" x14ac:dyDescent="0.25">
      <c r="C738" s="105">
        <v>349</v>
      </c>
      <c r="D738" s="107">
        <v>45716</v>
      </c>
      <c r="E738" s="38">
        <v>2</v>
      </c>
      <c r="F738" s="109" t="s">
        <v>363</v>
      </c>
      <c r="G738" s="38">
        <v>20</v>
      </c>
      <c r="H738" s="37"/>
    </row>
    <row r="739" spans="3:12" ht="15.75" thickBot="1" x14ac:dyDescent="0.3">
      <c r="C739" s="106"/>
      <c r="D739" s="108"/>
      <c r="E739" s="40">
        <v>1</v>
      </c>
      <c r="F739" s="110"/>
      <c r="G739" s="40"/>
      <c r="H739" s="39">
        <v>20</v>
      </c>
    </row>
    <row r="740" spans="3:12" x14ac:dyDescent="0.25">
      <c r="C740" s="105">
        <v>350</v>
      </c>
      <c r="D740" s="107">
        <v>45715</v>
      </c>
      <c r="E740" s="38">
        <v>1</v>
      </c>
      <c r="F740" s="109" t="s">
        <v>301</v>
      </c>
      <c r="G740" s="38">
        <v>50</v>
      </c>
      <c r="H740" s="37"/>
    </row>
    <row r="741" spans="3:12" ht="15.75" thickBot="1" x14ac:dyDescent="0.3">
      <c r="C741" s="106"/>
      <c r="D741" s="108"/>
      <c r="E741" s="40">
        <v>12</v>
      </c>
      <c r="F741" s="110"/>
      <c r="G741" s="40"/>
      <c r="H741" s="39">
        <v>50</v>
      </c>
    </row>
    <row r="742" spans="3:12" x14ac:dyDescent="0.25">
      <c r="C742" s="105">
        <v>351</v>
      </c>
      <c r="D742" s="107">
        <v>45716</v>
      </c>
      <c r="E742" s="38">
        <v>1</v>
      </c>
      <c r="F742" s="109" t="s">
        <v>135</v>
      </c>
      <c r="G742" s="38">
        <v>19</v>
      </c>
      <c r="H742" s="37"/>
    </row>
    <row r="743" spans="3:12" ht="15.75" thickBot="1" x14ac:dyDescent="0.3">
      <c r="C743" s="106"/>
      <c r="D743" s="108"/>
      <c r="E743" s="40">
        <v>12</v>
      </c>
      <c r="F743" s="110"/>
      <c r="G743" s="40"/>
      <c r="H743" s="39">
        <v>19</v>
      </c>
    </row>
    <row r="744" spans="3:12" x14ac:dyDescent="0.25">
      <c r="C744" s="105">
        <v>352</v>
      </c>
      <c r="D744" s="107">
        <v>45716</v>
      </c>
      <c r="E744" s="38">
        <v>4</v>
      </c>
      <c r="F744" s="109" t="s">
        <v>236</v>
      </c>
      <c r="G744" s="38">
        <v>75</v>
      </c>
      <c r="H744" s="37"/>
    </row>
    <row r="745" spans="3:12" ht="15.75" thickBot="1" x14ac:dyDescent="0.3">
      <c r="C745" s="106"/>
      <c r="D745" s="108"/>
      <c r="E745" s="40">
        <v>1</v>
      </c>
      <c r="F745" s="110"/>
      <c r="G745" s="40"/>
      <c r="H745" s="39">
        <v>75</v>
      </c>
    </row>
    <row r="746" spans="3:12" x14ac:dyDescent="0.25">
      <c r="C746" s="105">
        <v>353</v>
      </c>
      <c r="D746" s="107">
        <v>45716</v>
      </c>
      <c r="E746" s="38">
        <v>4</v>
      </c>
      <c r="F746" s="109" t="s">
        <v>369</v>
      </c>
      <c r="G746" s="38">
        <v>75</v>
      </c>
      <c r="H746" s="37"/>
    </row>
    <row r="747" spans="3:12" ht="15.75" thickBot="1" x14ac:dyDescent="0.3">
      <c r="C747" s="106"/>
      <c r="D747" s="108"/>
      <c r="E747" s="40">
        <v>1</v>
      </c>
      <c r="F747" s="110"/>
      <c r="G747" s="40"/>
      <c r="H747" s="39">
        <v>75</v>
      </c>
    </row>
    <row r="748" spans="3:12" x14ac:dyDescent="0.25">
      <c r="C748" s="105">
        <v>354</v>
      </c>
      <c r="D748" s="107">
        <v>45716</v>
      </c>
      <c r="E748" s="38">
        <v>1</v>
      </c>
      <c r="F748" s="109" t="s">
        <v>288</v>
      </c>
      <c r="G748" s="38">
        <v>157.62</v>
      </c>
      <c r="H748" s="37"/>
    </row>
    <row r="749" spans="3:12" ht="15.75" thickBot="1" x14ac:dyDescent="0.3">
      <c r="C749" s="106"/>
      <c r="D749" s="108"/>
      <c r="E749" s="40">
        <v>14</v>
      </c>
      <c r="F749" s="110"/>
      <c r="G749" s="40"/>
      <c r="H749" s="39">
        <v>157.62</v>
      </c>
    </row>
    <row r="750" spans="3:12" x14ac:dyDescent="0.25">
      <c r="C750" s="111">
        <v>355</v>
      </c>
      <c r="D750" s="89">
        <v>45716</v>
      </c>
      <c r="E750" s="90">
        <v>1</v>
      </c>
      <c r="F750" s="111" t="s">
        <v>289</v>
      </c>
      <c r="G750" s="90">
        <v>173.76</v>
      </c>
      <c r="H750" s="88"/>
    </row>
    <row r="751" spans="3:12" ht="15.75" thickBot="1" x14ac:dyDescent="0.3">
      <c r="C751" s="112"/>
      <c r="D751" s="92"/>
      <c r="E751" s="92">
        <v>12</v>
      </c>
      <c r="F751" s="112"/>
      <c r="G751" s="92"/>
      <c r="H751" s="91">
        <v>173.76</v>
      </c>
      <c r="K751" s="113" t="s">
        <v>290</v>
      </c>
      <c r="L751" s="113"/>
    </row>
    <row r="752" spans="3:12" ht="15.75" thickBot="1" x14ac:dyDescent="0.3">
      <c r="C752" s="114" t="s">
        <v>294</v>
      </c>
      <c r="D752" s="115"/>
      <c r="E752" s="116"/>
      <c r="F752" s="93" t="s">
        <v>292</v>
      </c>
      <c r="G752" s="94">
        <f>SUM(G398:G751)</f>
        <v>29051.81</v>
      </c>
      <c r="H752" s="94">
        <f>SUM(H398:H751)</f>
        <v>29051.81</v>
      </c>
      <c r="K752" s="49">
        <f>'Libros mayores'!B368+'Libros mayores'!F368+'Libros mayores'!J368+'Libros mayores'!N368+'Libros mayores'!R368+'Libros mayores'!V368+'Libros mayores'!Z368+'Libros mayores'!AD368+'Libros mayores'!AH368+'Libros mayores'!AL368+'Libros mayores'!AP368+'Libros mayores'!AT368+'Libros mayores'!AX368+'Libros mayores'!BB368+'Libros mayores'!BF368</f>
        <v>29051.81</v>
      </c>
      <c r="L752" s="49">
        <f>'Libros mayores'!C368+'Libros mayores'!G368+'Libros mayores'!K368+'Libros mayores'!O368+'Libros mayores'!S368+'Libros mayores'!W368+'Libros mayores'!AA368+'Libros mayores'!AE368+'Libros mayores'!AI368+'Libros mayores'!AM368+'Libros mayores'!AQ368+'Libros mayores'!AU368+'Libros mayores'!AY368+'Libros mayores'!BC368+'Libros mayores'!BG368</f>
        <v>29051.809999999998</v>
      </c>
    </row>
    <row r="753" spans="3:8" ht="15.75" thickBot="1" x14ac:dyDescent="0.3">
      <c r="C753" s="117" t="s">
        <v>291</v>
      </c>
      <c r="D753" s="118"/>
      <c r="E753" s="118"/>
      <c r="F753" s="118"/>
      <c r="G753" s="118"/>
      <c r="H753" s="119"/>
    </row>
    <row r="754" spans="3:8" x14ac:dyDescent="0.25">
      <c r="C754" s="105">
        <v>355</v>
      </c>
      <c r="D754" s="107">
        <v>45717</v>
      </c>
      <c r="E754" s="38">
        <v>12</v>
      </c>
      <c r="F754" s="105" t="s">
        <v>371</v>
      </c>
      <c r="G754" s="38">
        <v>3.54</v>
      </c>
      <c r="H754" s="37"/>
    </row>
    <row r="755" spans="3:8" ht="15.75" thickBot="1" x14ac:dyDescent="0.3">
      <c r="C755" s="106"/>
      <c r="D755" s="108"/>
      <c r="E755" s="40">
        <v>1</v>
      </c>
      <c r="F755" s="106"/>
      <c r="G755" s="40"/>
      <c r="H755" s="39">
        <v>3.54</v>
      </c>
    </row>
    <row r="756" spans="3:8" x14ac:dyDescent="0.25">
      <c r="C756" s="105">
        <v>356</v>
      </c>
      <c r="D756" s="107">
        <v>45717</v>
      </c>
      <c r="E756" s="38">
        <v>1</v>
      </c>
      <c r="F756" s="109" t="s">
        <v>372</v>
      </c>
      <c r="G756" s="38">
        <v>14.86</v>
      </c>
      <c r="H756" s="37"/>
    </row>
    <row r="757" spans="3:8" ht="15.75" thickBot="1" x14ac:dyDescent="0.3">
      <c r="C757" s="106"/>
      <c r="D757" s="108"/>
      <c r="E757" s="40">
        <v>12</v>
      </c>
      <c r="F757" s="110"/>
      <c r="G757" s="40"/>
      <c r="H757" s="39">
        <v>14.86</v>
      </c>
    </row>
    <row r="758" spans="3:8" x14ac:dyDescent="0.25">
      <c r="C758" s="105">
        <v>357</v>
      </c>
      <c r="D758" s="107">
        <v>45717</v>
      </c>
      <c r="E758" s="38">
        <v>1</v>
      </c>
      <c r="F758" s="109" t="s">
        <v>7</v>
      </c>
      <c r="G758" s="38">
        <v>847.13</v>
      </c>
      <c r="H758" s="37"/>
    </row>
    <row r="759" spans="3:8" ht="15.75" thickBot="1" x14ac:dyDescent="0.3">
      <c r="C759" s="106"/>
      <c r="D759" s="108"/>
      <c r="E759" s="40">
        <v>2</v>
      </c>
      <c r="F759" s="110"/>
      <c r="G759" s="40"/>
      <c r="H759" s="39">
        <v>847.13</v>
      </c>
    </row>
    <row r="760" spans="3:8" x14ac:dyDescent="0.25">
      <c r="C760" s="105">
        <v>358</v>
      </c>
      <c r="D760" s="107">
        <v>45717</v>
      </c>
      <c r="E760" s="38">
        <v>4</v>
      </c>
      <c r="F760" s="109" t="s">
        <v>235</v>
      </c>
      <c r="G760" s="38">
        <v>75</v>
      </c>
      <c r="H760" s="37"/>
    </row>
    <row r="761" spans="3:8" ht="15.75" thickBot="1" x14ac:dyDescent="0.3">
      <c r="C761" s="106"/>
      <c r="D761" s="108"/>
      <c r="E761" s="40">
        <v>1</v>
      </c>
      <c r="F761" s="110"/>
      <c r="G761" s="40"/>
      <c r="H761" s="39">
        <v>75</v>
      </c>
    </row>
    <row r="762" spans="3:8" x14ac:dyDescent="0.25">
      <c r="C762" s="105">
        <v>359</v>
      </c>
      <c r="D762" s="107">
        <v>45717</v>
      </c>
      <c r="E762" s="38">
        <v>4</v>
      </c>
      <c r="F762" s="109" t="s">
        <v>369</v>
      </c>
      <c r="G762" s="38">
        <v>75</v>
      </c>
      <c r="H762" s="37"/>
    </row>
    <row r="763" spans="3:8" ht="15.75" thickBot="1" x14ac:dyDescent="0.3">
      <c r="C763" s="106"/>
      <c r="D763" s="108"/>
      <c r="E763" s="40">
        <v>1</v>
      </c>
      <c r="F763" s="110"/>
      <c r="G763" s="40"/>
      <c r="H763" s="39">
        <v>75</v>
      </c>
    </row>
    <row r="764" spans="3:8" x14ac:dyDescent="0.25">
      <c r="C764" s="105">
        <v>360</v>
      </c>
      <c r="D764" s="107">
        <v>45717</v>
      </c>
      <c r="E764" s="38">
        <v>1</v>
      </c>
      <c r="F764" s="109" t="s">
        <v>370</v>
      </c>
      <c r="G764" s="38">
        <v>3</v>
      </c>
      <c r="H764" s="37"/>
    </row>
    <row r="765" spans="3:8" ht="15.75" thickBot="1" x14ac:dyDescent="0.3">
      <c r="C765" s="106"/>
      <c r="D765" s="108"/>
      <c r="E765" s="40">
        <v>5</v>
      </c>
      <c r="F765" s="110"/>
      <c r="G765" s="40"/>
      <c r="H765" s="39">
        <v>3</v>
      </c>
    </row>
    <row r="766" spans="3:8" x14ac:dyDescent="0.25">
      <c r="C766" s="105">
        <v>361</v>
      </c>
      <c r="D766" s="107">
        <v>45718</v>
      </c>
      <c r="E766" s="38">
        <v>1</v>
      </c>
      <c r="F766" s="109" t="s">
        <v>134</v>
      </c>
      <c r="G766" s="38">
        <v>46</v>
      </c>
      <c r="H766" s="37"/>
    </row>
    <row r="767" spans="3:8" ht="15.75" thickBot="1" x14ac:dyDescent="0.3">
      <c r="C767" s="106"/>
      <c r="D767" s="108"/>
      <c r="E767" s="40">
        <v>7</v>
      </c>
      <c r="F767" s="110"/>
      <c r="G767" s="40"/>
      <c r="H767" s="39">
        <v>46</v>
      </c>
    </row>
    <row r="768" spans="3:8" x14ac:dyDescent="0.25">
      <c r="C768" s="105">
        <v>362</v>
      </c>
      <c r="D768" s="107">
        <v>45719</v>
      </c>
      <c r="E768" s="38">
        <v>1</v>
      </c>
      <c r="F768" s="109" t="s">
        <v>121</v>
      </c>
      <c r="G768" s="38">
        <v>28.5</v>
      </c>
      <c r="H768" s="37"/>
    </row>
    <row r="769" spans="3:8" ht="15.75" thickBot="1" x14ac:dyDescent="0.3">
      <c r="C769" s="106"/>
      <c r="D769" s="108"/>
      <c r="E769" s="40">
        <v>12</v>
      </c>
      <c r="F769" s="110"/>
      <c r="G769" s="40"/>
      <c r="H769" s="39">
        <v>28.5</v>
      </c>
    </row>
    <row r="770" spans="3:8" x14ac:dyDescent="0.25">
      <c r="C770" s="105">
        <v>363</v>
      </c>
      <c r="D770" s="107">
        <v>45720</v>
      </c>
      <c r="E770" s="38">
        <v>4</v>
      </c>
      <c r="F770" s="109" t="s">
        <v>374</v>
      </c>
      <c r="G770" s="38">
        <v>180</v>
      </c>
      <c r="H770" s="37"/>
    </row>
    <row r="771" spans="3:8" ht="15.75" thickBot="1" x14ac:dyDescent="0.3">
      <c r="C771" s="106"/>
      <c r="D771" s="108"/>
      <c r="E771" s="40">
        <v>1</v>
      </c>
      <c r="F771" s="110"/>
      <c r="G771" s="40"/>
      <c r="H771" s="39">
        <v>180</v>
      </c>
    </row>
    <row r="772" spans="3:8" x14ac:dyDescent="0.25">
      <c r="C772" s="105">
        <v>364</v>
      </c>
      <c r="D772" s="107">
        <v>45721</v>
      </c>
      <c r="E772" s="38">
        <v>3</v>
      </c>
      <c r="F772" s="109" t="s">
        <v>375</v>
      </c>
      <c r="G772" s="38">
        <v>800</v>
      </c>
      <c r="H772" s="37"/>
    </row>
    <row r="773" spans="3:8" ht="15.75" thickBot="1" x14ac:dyDescent="0.3">
      <c r="C773" s="106"/>
      <c r="D773" s="108"/>
      <c r="E773" s="40">
        <v>1</v>
      </c>
      <c r="F773" s="110"/>
      <c r="G773" s="40"/>
      <c r="H773" s="39">
        <v>800</v>
      </c>
    </row>
    <row r="774" spans="3:8" x14ac:dyDescent="0.25">
      <c r="C774" s="105">
        <v>365</v>
      </c>
      <c r="D774" s="107">
        <v>45721</v>
      </c>
      <c r="E774" s="38">
        <v>4</v>
      </c>
      <c r="F774" s="109" t="s">
        <v>376</v>
      </c>
      <c r="G774" s="38">
        <v>75</v>
      </c>
      <c r="H774" s="37"/>
    </row>
    <row r="775" spans="3:8" ht="15.75" thickBot="1" x14ac:dyDescent="0.3">
      <c r="C775" s="106"/>
      <c r="D775" s="108"/>
      <c r="E775" s="40">
        <v>1</v>
      </c>
      <c r="F775" s="110"/>
      <c r="G775" s="40"/>
      <c r="H775" s="39">
        <v>75</v>
      </c>
    </row>
    <row r="776" spans="3:8" x14ac:dyDescent="0.25">
      <c r="C776" s="105">
        <v>366</v>
      </c>
      <c r="D776" s="107">
        <v>45721</v>
      </c>
      <c r="E776" s="38">
        <v>1</v>
      </c>
      <c r="F776" s="109" t="s">
        <v>7</v>
      </c>
      <c r="G776" s="38">
        <v>97</v>
      </c>
      <c r="H776" s="37"/>
    </row>
    <row r="777" spans="3:8" ht="15.75" thickBot="1" x14ac:dyDescent="0.3">
      <c r="C777" s="106"/>
      <c r="D777" s="108"/>
      <c r="E777" s="40">
        <v>2</v>
      </c>
      <c r="F777" s="110"/>
      <c r="G777" s="40"/>
      <c r="H777" s="39">
        <v>97</v>
      </c>
    </row>
    <row r="778" spans="3:8" x14ac:dyDescent="0.25">
      <c r="C778" s="105">
        <v>367</v>
      </c>
      <c r="D778" s="107">
        <v>45721</v>
      </c>
      <c r="E778" s="38">
        <v>4</v>
      </c>
      <c r="F778" s="109" t="s">
        <v>136</v>
      </c>
      <c r="G778" s="38">
        <v>100</v>
      </c>
      <c r="H778" s="37"/>
    </row>
    <row r="779" spans="3:8" ht="15.75" thickBot="1" x14ac:dyDescent="0.3">
      <c r="C779" s="106"/>
      <c r="D779" s="108"/>
      <c r="E779" s="40">
        <v>1</v>
      </c>
      <c r="F779" s="110"/>
      <c r="G779" s="40"/>
      <c r="H779" s="39">
        <v>100</v>
      </c>
    </row>
    <row r="780" spans="3:8" x14ac:dyDescent="0.25">
      <c r="C780" s="105">
        <v>368</v>
      </c>
      <c r="D780" s="107">
        <v>45721</v>
      </c>
      <c r="E780" s="38">
        <v>1</v>
      </c>
      <c r="F780" s="109" t="s">
        <v>30</v>
      </c>
      <c r="G780" s="38">
        <v>9.6</v>
      </c>
      <c r="H780" s="37"/>
    </row>
    <row r="781" spans="3:8" ht="15.75" thickBot="1" x14ac:dyDescent="0.3">
      <c r="C781" s="106"/>
      <c r="D781" s="108"/>
      <c r="E781" s="40">
        <v>5</v>
      </c>
      <c r="F781" s="110"/>
      <c r="G781" s="40"/>
      <c r="H781" s="39">
        <v>9.6</v>
      </c>
    </row>
    <row r="782" spans="3:8" x14ac:dyDescent="0.25">
      <c r="C782" s="105">
        <v>369</v>
      </c>
      <c r="D782" s="107">
        <v>45722</v>
      </c>
      <c r="E782" s="38">
        <v>3</v>
      </c>
      <c r="F782" s="109" t="s">
        <v>378</v>
      </c>
      <c r="G782" s="38">
        <v>1242</v>
      </c>
      <c r="H782" s="37"/>
    </row>
    <row r="783" spans="3:8" ht="15.75" thickBot="1" x14ac:dyDescent="0.3">
      <c r="C783" s="106"/>
      <c r="D783" s="108"/>
      <c r="E783" s="40">
        <v>1</v>
      </c>
      <c r="F783" s="110"/>
      <c r="G783" s="40"/>
      <c r="H783" s="39">
        <v>1242</v>
      </c>
    </row>
    <row r="784" spans="3:8" x14ac:dyDescent="0.25">
      <c r="C784" s="105">
        <v>370</v>
      </c>
      <c r="D784" s="107">
        <v>45722</v>
      </c>
      <c r="E784" s="38">
        <v>4</v>
      </c>
      <c r="F784" s="109" t="s">
        <v>311</v>
      </c>
      <c r="G784" s="38">
        <v>75</v>
      </c>
      <c r="H784" s="37"/>
    </row>
    <row r="785" spans="3:8" ht="15.75" thickBot="1" x14ac:dyDescent="0.3">
      <c r="C785" s="106"/>
      <c r="D785" s="108"/>
      <c r="E785" s="40">
        <v>1</v>
      </c>
      <c r="F785" s="110"/>
      <c r="G785" s="40"/>
      <c r="H785" s="39">
        <v>75</v>
      </c>
    </row>
    <row r="786" spans="3:8" x14ac:dyDescent="0.25">
      <c r="C786" s="105">
        <v>371</v>
      </c>
      <c r="D786" s="107">
        <v>45722</v>
      </c>
      <c r="E786" s="38">
        <v>4</v>
      </c>
      <c r="F786" s="109" t="s">
        <v>236</v>
      </c>
      <c r="G786" s="38">
        <v>100</v>
      </c>
      <c r="H786" s="37"/>
    </row>
    <row r="787" spans="3:8" ht="15.75" thickBot="1" x14ac:dyDescent="0.3">
      <c r="C787" s="106"/>
      <c r="D787" s="108"/>
      <c r="E787" s="40">
        <v>1</v>
      </c>
      <c r="F787" s="110"/>
      <c r="G787" s="40"/>
      <c r="H787" s="39">
        <v>100</v>
      </c>
    </row>
    <row r="788" spans="3:8" x14ac:dyDescent="0.25">
      <c r="C788" s="105">
        <v>372</v>
      </c>
      <c r="D788" s="107">
        <v>45722</v>
      </c>
      <c r="E788" s="38">
        <v>1</v>
      </c>
      <c r="F788" s="109" t="s">
        <v>30</v>
      </c>
      <c r="G788" s="38">
        <v>13.5</v>
      </c>
      <c r="H788" s="37"/>
    </row>
    <row r="789" spans="3:8" ht="15.75" thickBot="1" x14ac:dyDescent="0.3">
      <c r="C789" s="106"/>
      <c r="D789" s="108"/>
      <c r="E789" s="40">
        <v>5</v>
      </c>
      <c r="F789" s="110"/>
      <c r="G789" s="40"/>
      <c r="H789" s="39">
        <v>13.5</v>
      </c>
    </row>
    <row r="790" spans="3:8" x14ac:dyDescent="0.25">
      <c r="C790" s="105">
        <v>373</v>
      </c>
      <c r="D790" s="107">
        <v>45723</v>
      </c>
      <c r="E790" s="38">
        <v>3</v>
      </c>
      <c r="F790" s="109" t="s">
        <v>380</v>
      </c>
      <c r="G790" s="38">
        <v>898</v>
      </c>
      <c r="H790" s="37"/>
    </row>
    <row r="791" spans="3:8" ht="15.75" thickBot="1" x14ac:dyDescent="0.3">
      <c r="C791" s="106"/>
      <c r="D791" s="108"/>
      <c r="E791" s="40">
        <v>1</v>
      </c>
      <c r="F791" s="110"/>
      <c r="G791" s="40"/>
      <c r="H791" s="39">
        <v>898</v>
      </c>
    </row>
    <row r="792" spans="3:8" x14ac:dyDescent="0.25">
      <c r="C792" s="105">
        <v>374</v>
      </c>
      <c r="D792" s="107">
        <v>45723</v>
      </c>
      <c r="E792" s="38">
        <v>1</v>
      </c>
      <c r="F792" s="109" t="s">
        <v>140</v>
      </c>
      <c r="G792" s="38">
        <v>102.9</v>
      </c>
      <c r="H792" s="37"/>
    </row>
    <row r="793" spans="3:8" ht="15.75" thickBot="1" x14ac:dyDescent="0.3">
      <c r="C793" s="106"/>
      <c r="D793" s="108"/>
      <c r="E793" s="40">
        <v>7</v>
      </c>
      <c r="F793" s="110"/>
      <c r="G793" s="40"/>
      <c r="H793" s="39">
        <v>102.9</v>
      </c>
    </row>
    <row r="794" spans="3:8" x14ac:dyDescent="0.25">
      <c r="C794" s="105">
        <v>375</v>
      </c>
      <c r="D794" s="107">
        <v>45723</v>
      </c>
      <c r="E794" s="38">
        <v>1</v>
      </c>
      <c r="F794" s="109" t="s">
        <v>381</v>
      </c>
      <c r="G794" s="38">
        <v>35</v>
      </c>
      <c r="H794" s="37"/>
    </row>
    <row r="795" spans="3:8" ht="15.75" thickBot="1" x14ac:dyDescent="0.3">
      <c r="C795" s="106"/>
      <c r="D795" s="108"/>
      <c r="E795" s="40">
        <v>12</v>
      </c>
      <c r="F795" s="110"/>
      <c r="G795" s="40"/>
      <c r="H795" s="39">
        <v>35</v>
      </c>
    </row>
    <row r="796" spans="3:8" x14ac:dyDescent="0.25">
      <c r="C796" s="105">
        <v>376</v>
      </c>
      <c r="D796" s="107">
        <v>45723</v>
      </c>
      <c r="E796" s="38">
        <v>1</v>
      </c>
      <c r="F796" s="109" t="s">
        <v>135</v>
      </c>
      <c r="G796" s="38">
        <v>11</v>
      </c>
      <c r="H796" s="37"/>
    </row>
    <row r="797" spans="3:8" ht="15.75" thickBot="1" x14ac:dyDescent="0.3">
      <c r="C797" s="106"/>
      <c r="D797" s="108"/>
      <c r="E797" s="40">
        <v>12</v>
      </c>
      <c r="F797" s="110"/>
      <c r="G797" s="40"/>
      <c r="H797" s="39">
        <v>11</v>
      </c>
    </row>
    <row r="798" spans="3:8" x14ac:dyDescent="0.25">
      <c r="C798" s="105">
        <v>377</v>
      </c>
      <c r="D798" s="107">
        <v>45723</v>
      </c>
      <c r="E798" s="38">
        <v>1</v>
      </c>
      <c r="F798" s="109" t="s">
        <v>30</v>
      </c>
      <c r="G798" s="38">
        <v>44.8</v>
      </c>
      <c r="H798" s="37"/>
    </row>
    <row r="799" spans="3:8" ht="15.75" thickBot="1" x14ac:dyDescent="0.3">
      <c r="C799" s="106"/>
      <c r="D799" s="108"/>
      <c r="E799" s="40">
        <v>5</v>
      </c>
      <c r="F799" s="110"/>
      <c r="G799" s="40"/>
      <c r="H799" s="39">
        <v>44.8</v>
      </c>
    </row>
    <row r="800" spans="3:8" x14ac:dyDescent="0.25">
      <c r="C800" s="105">
        <v>378</v>
      </c>
      <c r="D800" s="107">
        <v>45723</v>
      </c>
      <c r="E800" s="38">
        <v>4</v>
      </c>
      <c r="F800" s="109" t="s">
        <v>236</v>
      </c>
      <c r="G800" s="38">
        <v>100</v>
      </c>
      <c r="H800" s="37"/>
    </row>
    <row r="801" spans="3:8" ht="15.75" thickBot="1" x14ac:dyDescent="0.3">
      <c r="C801" s="106"/>
      <c r="D801" s="108"/>
      <c r="E801" s="40">
        <v>1</v>
      </c>
      <c r="F801" s="110"/>
      <c r="G801" s="40"/>
      <c r="H801" s="39">
        <v>100</v>
      </c>
    </row>
    <row r="802" spans="3:8" x14ac:dyDescent="0.25">
      <c r="C802" s="105">
        <v>379</v>
      </c>
      <c r="D802" s="107">
        <v>45724</v>
      </c>
      <c r="E802" s="38">
        <v>3</v>
      </c>
      <c r="F802" s="109" t="s">
        <v>382</v>
      </c>
      <c r="G802" s="38">
        <v>405</v>
      </c>
      <c r="H802" s="37"/>
    </row>
    <row r="803" spans="3:8" ht="15.75" thickBot="1" x14ac:dyDescent="0.3">
      <c r="C803" s="106"/>
      <c r="D803" s="108"/>
      <c r="E803" s="40">
        <v>1</v>
      </c>
      <c r="F803" s="110"/>
      <c r="G803" s="40"/>
      <c r="H803" s="39">
        <v>405</v>
      </c>
    </row>
    <row r="804" spans="3:8" x14ac:dyDescent="0.25">
      <c r="C804" s="105">
        <v>380</v>
      </c>
      <c r="D804" s="107">
        <v>45724</v>
      </c>
      <c r="E804" s="38">
        <v>1</v>
      </c>
      <c r="F804" s="109" t="s">
        <v>30</v>
      </c>
      <c r="G804" s="38">
        <v>1.8</v>
      </c>
      <c r="H804" s="37"/>
    </row>
    <row r="805" spans="3:8" ht="15.75" thickBot="1" x14ac:dyDescent="0.3">
      <c r="C805" s="106"/>
      <c r="D805" s="108"/>
      <c r="E805" s="40">
        <v>5</v>
      </c>
      <c r="F805" s="110"/>
      <c r="G805" s="40"/>
      <c r="H805" s="39">
        <v>1.8</v>
      </c>
    </row>
    <row r="806" spans="3:8" x14ac:dyDescent="0.25">
      <c r="C806" s="105">
        <v>381</v>
      </c>
      <c r="D806" s="107">
        <v>45724</v>
      </c>
      <c r="E806" s="38">
        <v>1</v>
      </c>
      <c r="F806" s="109" t="s">
        <v>135</v>
      </c>
      <c r="G806" s="38">
        <v>29</v>
      </c>
      <c r="H806" s="37"/>
    </row>
    <row r="807" spans="3:8" ht="15.75" thickBot="1" x14ac:dyDescent="0.3">
      <c r="C807" s="106"/>
      <c r="D807" s="108"/>
      <c r="E807" s="40">
        <v>12</v>
      </c>
      <c r="F807" s="110"/>
      <c r="G807" s="40"/>
      <c r="H807" s="39">
        <v>29</v>
      </c>
    </row>
    <row r="808" spans="3:8" x14ac:dyDescent="0.25">
      <c r="C808" s="105">
        <v>382</v>
      </c>
      <c r="D808" s="107">
        <v>45724</v>
      </c>
      <c r="E808" s="38">
        <v>1</v>
      </c>
      <c r="F808" s="109" t="s">
        <v>322</v>
      </c>
      <c r="G808" s="38">
        <v>10</v>
      </c>
      <c r="H808" s="37"/>
    </row>
    <row r="809" spans="3:8" ht="15.75" thickBot="1" x14ac:dyDescent="0.3">
      <c r="C809" s="106"/>
      <c r="D809" s="108"/>
      <c r="E809" s="40">
        <v>12</v>
      </c>
      <c r="F809" s="110"/>
      <c r="G809" s="40"/>
      <c r="H809" s="39">
        <v>10</v>
      </c>
    </row>
    <row r="810" spans="3:8" x14ac:dyDescent="0.25">
      <c r="C810" s="105">
        <v>383</v>
      </c>
      <c r="D810" s="107">
        <v>45724</v>
      </c>
      <c r="E810" s="38">
        <v>4</v>
      </c>
      <c r="F810" s="109" t="s">
        <v>383</v>
      </c>
      <c r="G810" s="38">
        <v>100</v>
      </c>
      <c r="H810" s="37"/>
    </row>
    <row r="811" spans="3:8" ht="15.75" thickBot="1" x14ac:dyDescent="0.3">
      <c r="C811" s="106"/>
      <c r="D811" s="108"/>
      <c r="E811" s="40">
        <v>1</v>
      </c>
      <c r="F811" s="110"/>
      <c r="G811" s="40"/>
      <c r="H811" s="39">
        <v>100</v>
      </c>
    </row>
    <row r="812" spans="3:8" x14ac:dyDescent="0.25">
      <c r="C812" s="105">
        <v>384</v>
      </c>
      <c r="D812" s="107">
        <v>45725</v>
      </c>
      <c r="E812" s="38">
        <v>3</v>
      </c>
      <c r="F812" s="109" t="s">
        <v>384</v>
      </c>
      <c r="G812" s="38">
        <v>3450</v>
      </c>
      <c r="H812" s="37"/>
    </row>
    <row r="813" spans="3:8" ht="15.75" thickBot="1" x14ac:dyDescent="0.3">
      <c r="C813" s="106"/>
      <c r="D813" s="108"/>
      <c r="E813" s="40">
        <v>1</v>
      </c>
      <c r="F813" s="110"/>
      <c r="G813" s="40"/>
      <c r="H813" s="39">
        <v>3450</v>
      </c>
    </row>
    <row r="814" spans="3:8" x14ac:dyDescent="0.25">
      <c r="C814" s="105">
        <v>385</v>
      </c>
      <c r="D814" s="107">
        <v>45725</v>
      </c>
      <c r="E814" s="38">
        <v>1</v>
      </c>
      <c r="F814" s="109" t="s">
        <v>134</v>
      </c>
      <c r="G814" s="38">
        <v>53.5</v>
      </c>
      <c r="H814" s="37"/>
    </row>
    <row r="815" spans="3:8" ht="15.75" thickBot="1" x14ac:dyDescent="0.3">
      <c r="C815" s="106"/>
      <c r="D815" s="108"/>
      <c r="E815" s="40">
        <v>7</v>
      </c>
      <c r="F815" s="110"/>
      <c r="G815" s="40"/>
      <c r="H815" s="39">
        <v>53.5</v>
      </c>
    </row>
    <row r="816" spans="3:8" x14ac:dyDescent="0.25">
      <c r="C816" s="105">
        <v>386</v>
      </c>
      <c r="D816" s="107">
        <v>45725</v>
      </c>
      <c r="E816" s="38">
        <v>12</v>
      </c>
      <c r="F816" s="109" t="s">
        <v>385</v>
      </c>
      <c r="G816" s="38">
        <v>10</v>
      </c>
      <c r="H816" s="37"/>
    </row>
    <row r="817" spans="3:8" ht="15.75" thickBot="1" x14ac:dyDescent="0.3">
      <c r="C817" s="106"/>
      <c r="D817" s="108"/>
      <c r="E817" s="40">
        <v>1</v>
      </c>
      <c r="F817" s="110"/>
      <c r="G817" s="40"/>
      <c r="H817" s="39">
        <v>10</v>
      </c>
    </row>
    <row r="818" spans="3:8" x14ac:dyDescent="0.25">
      <c r="C818" s="105">
        <v>387</v>
      </c>
      <c r="D818" s="107">
        <v>45726</v>
      </c>
      <c r="E818" s="38">
        <v>1</v>
      </c>
      <c r="F818" s="109" t="s">
        <v>183</v>
      </c>
      <c r="G818" s="38">
        <v>50</v>
      </c>
      <c r="H818" s="37"/>
    </row>
    <row r="819" spans="3:8" ht="15.75" thickBot="1" x14ac:dyDescent="0.3">
      <c r="C819" s="106"/>
      <c r="D819" s="108"/>
      <c r="E819" s="40">
        <v>5</v>
      </c>
      <c r="F819" s="110"/>
      <c r="G819" s="40"/>
      <c r="H819" s="39">
        <v>50</v>
      </c>
    </row>
    <row r="820" spans="3:8" x14ac:dyDescent="0.25">
      <c r="C820" s="105">
        <v>388</v>
      </c>
      <c r="D820" s="107">
        <v>45726</v>
      </c>
      <c r="E820" s="38">
        <v>1</v>
      </c>
      <c r="F820" s="109" t="s">
        <v>7</v>
      </c>
      <c r="G820" s="38">
        <v>211.5</v>
      </c>
      <c r="H820" s="37"/>
    </row>
    <row r="821" spans="3:8" ht="15.75" thickBot="1" x14ac:dyDescent="0.3">
      <c r="C821" s="106"/>
      <c r="D821" s="108"/>
      <c r="E821" s="40">
        <v>2</v>
      </c>
      <c r="F821" s="110"/>
      <c r="G821" s="40"/>
      <c r="H821" s="39">
        <v>211.5</v>
      </c>
    </row>
    <row r="822" spans="3:8" x14ac:dyDescent="0.25">
      <c r="C822" s="105">
        <v>389</v>
      </c>
      <c r="D822" s="107">
        <v>45726</v>
      </c>
      <c r="E822" s="38">
        <v>1</v>
      </c>
      <c r="F822" s="109" t="s">
        <v>135</v>
      </c>
      <c r="G822" s="38">
        <v>6</v>
      </c>
      <c r="H822" s="37"/>
    </row>
    <row r="823" spans="3:8" ht="15.75" thickBot="1" x14ac:dyDescent="0.3">
      <c r="C823" s="106"/>
      <c r="D823" s="108"/>
      <c r="E823" s="40">
        <v>12</v>
      </c>
      <c r="F823" s="110"/>
      <c r="G823" s="40"/>
      <c r="H823" s="39">
        <v>6</v>
      </c>
    </row>
    <row r="824" spans="3:8" x14ac:dyDescent="0.25">
      <c r="C824" s="105">
        <v>390</v>
      </c>
      <c r="D824" s="107">
        <v>45726</v>
      </c>
      <c r="E824" s="38">
        <v>3</v>
      </c>
      <c r="F824" s="109" t="s">
        <v>387</v>
      </c>
      <c r="G824" s="38">
        <v>434</v>
      </c>
      <c r="H824" s="37"/>
    </row>
    <row r="825" spans="3:8" ht="15.75" thickBot="1" x14ac:dyDescent="0.3">
      <c r="C825" s="106"/>
      <c r="D825" s="108"/>
      <c r="E825" s="40">
        <v>1</v>
      </c>
      <c r="F825" s="110"/>
      <c r="G825" s="40"/>
      <c r="H825" s="39">
        <v>434</v>
      </c>
    </row>
    <row r="826" spans="3:8" x14ac:dyDescent="0.25">
      <c r="C826" s="105">
        <v>391</v>
      </c>
      <c r="D826" s="107">
        <v>45726</v>
      </c>
      <c r="E826" s="38">
        <v>1</v>
      </c>
      <c r="F826" s="109" t="s">
        <v>30</v>
      </c>
      <c r="G826" s="38">
        <v>1.9</v>
      </c>
      <c r="H826" s="37"/>
    </row>
    <row r="827" spans="3:8" ht="15.75" thickBot="1" x14ac:dyDescent="0.3">
      <c r="C827" s="106"/>
      <c r="D827" s="108"/>
      <c r="E827" s="40">
        <v>5</v>
      </c>
      <c r="F827" s="110"/>
      <c r="G827" s="40"/>
      <c r="H827" s="39">
        <v>1.9</v>
      </c>
    </row>
    <row r="828" spans="3:8" x14ac:dyDescent="0.25">
      <c r="C828" s="105">
        <v>392</v>
      </c>
      <c r="D828" s="107">
        <v>45726</v>
      </c>
      <c r="E828" s="38">
        <v>1</v>
      </c>
      <c r="F828" s="109" t="s">
        <v>322</v>
      </c>
      <c r="G828" s="38">
        <v>40</v>
      </c>
      <c r="H828" s="37"/>
    </row>
    <row r="829" spans="3:8" ht="15.75" thickBot="1" x14ac:dyDescent="0.3">
      <c r="C829" s="106"/>
      <c r="D829" s="108"/>
      <c r="E829" s="40">
        <v>12</v>
      </c>
      <c r="F829" s="110"/>
      <c r="G829" s="40"/>
      <c r="H829" s="39">
        <v>40</v>
      </c>
    </row>
    <row r="830" spans="3:8" x14ac:dyDescent="0.25">
      <c r="C830" s="105">
        <v>393</v>
      </c>
      <c r="D830" s="107">
        <v>45727</v>
      </c>
      <c r="E830" s="38">
        <v>1</v>
      </c>
      <c r="F830" s="109" t="s">
        <v>7</v>
      </c>
      <c r="G830" s="38">
        <v>230</v>
      </c>
      <c r="H830" s="37"/>
    </row>
    <row r="831" spans="3:8" ht="15.75" thickBot="1" x14ac:dyDescent="0.3">
      <c r="C831" s="106"/>
      <c r="D831" s="108"/>
      <c r="E831" s="40">
        <v>2</v>
      </c>
      <c r="F831" s="110"/>
      <c r="G831" s="40"/>
      <c r="H831" s="39">
        <v>230</v>
      </c>
    </row>
    <row r="832" spans="3:8" x14ac:dyDescent="0.25">
      <c r="C832" s="105">
        <v>394</v>
      </c>
      <c r="D832" s="107">
        <v>45727</v>
      </c>
      <c r="E832" s="38">
        <v>3</v>
      </c>
      <c r="F832" s="109" t="s">
        <v>388</v>
      </c>
      <c r="G832" s="38">
        <v>216</v>
      </c>
      <c r="H832" s="37"/>
    </row>
    <row r="833" spans="3:8" ht="15.75" thickBot="1" x14ac:dyDescent="0.3">
      <c r="C833" s="106"/>
      <c r="D833" s="108"/>
      <c r="E833" s="40">
        <v>1</v>
      </c>
      <c r="F833" s="110"/>
      <c r="G833" s="40"/>
      <c r="H833" s="39">
        <v>216</v>
      </c>
    </row>
    <row r="834" spans="3:8" x14ac:dyDescent="0.25">
      <c r="C834" s="105">
        <v>395</v>
      </c>
      <c r="D834" s="107">
        <v>45727</v>
      </c>
      <c r="E834" s="38">
        <v>1</v>
      </c>
      <c r="F834" s="109" t="s">
        <v>135</v>
      </c>
      <c r="G834" s="38">
        <v>21</v>
      </c>
      <c r="H834" s="37"/>
    </row>
    <row r="835" spans="3:8" ht="15.75" thickBot="1" x14ac:dyDescent="0.3">
      <c r="C835" s="106"/>
      <c r="D835" s="108"/>
      <c r="E835" s="40">
        <v>12</v>
      </c>
      <c r="F835" s="110"/>
      <c r="G835" s="40"/>
      <c r="H835" s="39">
        <v>21</v>
      </c>
    </row>
    <row r="836" spans="3:8" x14ac:dyDescent="0.25">
      <c r="C836" s="105">
        <v>396</v>
      </c>
      <c r="D836" s="107">
        <v>45727</v>
      </c>
      <c r="E836" s="38">
        <v>1</v>
      </c>
      <c r="F836" s="109" t="s">
        <v>30</v>
      </c>
      <c r="G836" s="38">
        <v>4.9000000000000004</v>
      </c>
      <c r="H836" s="37"/>
    </row>
    <row r="837" spans="3:8" ht="15.75" thickBot="1" x14ac:dyDescent="0.3">
      <c r="C837" s="106"/>
      <c r="D837" s="108"/>
      <c r="E837" s="40">
        <v>5</v>
      </c>
      <c r="F837" s="110"/>
      <c r="G837" s="40"/>
      <c r="H837" s="39">
        <v>4.9000000000000004</v>
      </c>
    </row>
    <row r="838" spans="3:8" x14ac:dyDescent="0.25">
      <c r="C838" s="105">
        <v>397</v>
      </c>
      <c r="D838" s="107">
        <v>45729</v>
      </c>
      <c r="E838" s="38">
        <v>1</v>
      </c>
      <c r="F838" s="109" t="s">
        <v>390</v>
      </c>
      <c r="G838" s="38">
        <v>72</v>
      </c>
      <c r="H838" s="37"/>
    </row>
    <row r="839" spans="3:8" ht="15.75" thickBot="1" x14ac:dyDescent="0.3">
      <c r="C839" s="106"/>
      <c r="D839" s="108"/>
      <c r="E839" s="40">
        <v>12</v>
      </c>
      <c r="F839" s="110"/>
      <c r="G839" s="40"/>
      <c r="H839" s="39">
        <v>72</v>
      </c>
    </row>
    <row r="840" spans="3:8" x14ac:dyDescent="0.25">
      <c r="C840" s="105">
        <v>398</v>
      </c>
      <c r="D840" s="107">
        <v>45729</v>
      </c>
      <c r="E840" s="38">
        <v>1</v>
      </c>
      <c r="F840" s="109" t="s">
        <v>389</v>
      </c>
      <c r="G840" s="38">
        <v>30</v>
      </c>
      <c r="H840" s="37"/>
    </row>
    <row r="841" spans="3:8" ht="15.75" thickBot="1" x14ac:dyDescent="0.3">
      <c r="C841" s="106"/>
      <c r="D841" s="108"/>
      <c r="E841" s="40">
        <v>8</v>
      </c>
      <c r="F841" s="110"/>
      <c r="G841" s="40"/>
      <c r="H841" s="39">
        <v>30</v>
      </c>
    </row>
    <row r="842" spans="3:8" x14ac:dyDescent="0.25">
      <c r="C842" s="105">
        <v>399</v>
      </c>
      <c r="D842" s="107">
        <v>45729</v>
      </c>
      <c r="E842" s="38">
        <v>1</v>
      </c>
      <c r="F842" s="109" t="s">
        <v>140</v>
      </c>
      <c r="G842" s="38">
        <v>118.8</v>
      </c>
      <c r="H842" s="37"/>
    </row>
    <row r="843" spans="3:8" ht="15.75" thickBot="1" x14ac:dyDescent="0.3">
      <c r="C843" s="106"/>
      <c r="D843" s="108"/>
      <c r="E843" s="40">
        <v>7</v>
      </c>
      <c r="F843" s="110"/>
      <c r="G843" s="40"/>
      <c r="H843" s="39">
        <v>118.8</v>
      </c>
    </row>
    <row r="844" spans="3:8" x14ac:dyDescent="0.25">
      <c r="C844" s="105">
        <v>400</v>
      </c>
      <c r="D844" s="107">
        <v>45729</v>
      </c>
      <c r="E844" s="38">
        <v>4</v>
      </c>
      <c r="F844" s="109" t="s">
        <v>391</v>
      </c>
      <c r="G844" s="38">
        <v>75</v>
      </c>
      <c r="H844" s="37"/>
    </row>
    <row r="845" spans="3:8" ht="15.75" thickBot="1" x14ac:dyDescent="0.3">
      <c r="C845" s="106"/>
      <c r="D845" s="108"/>
      <c r="E845" s="40">
        <v>1</v>
      </c>
      <c r="F845" s="110"/>
      <c r="G845" s="40"/>
      <c r="H845" s="39">
        <v>75</v>
      </c>
    </row>
    <row r="846" spans="3:8" x14ac:dyDescent="0.25">
      <c r="C846" s="105">
        <v>401</v>
      </c>
      <c r="D846" s="107">
        <v>45730</v>
      </c>
      <c r="E846" s="38">
        <v>1</v>
      </c>
      <c r="F846" s="109" t="s">
        <v>7</v>
      </c>
      <c r="G846" s="38">
        <v>10480</v>
      </c>
      <c r="H846" s="37"/>
    </row>
    <row r="847" spans="3:8" ht="15.75" thickBot="1" x14ac:dyDescent="0.3">
      <c r="C847" s="106"/>
      <c r="D847" s="108"/>
      <c r="E847" s="40">
        <v>2</v>
      </c>
      <c r="F847" s="110"/>
      <c r="G847" s="40"/>
      <c r="H847" s="39">
        <v>10480</v>
      </c>
    </row>
    <row r="848" spans="3:8" x14ac:dyDescent="0.25">
      <c r="C848" s="105">
        <v>402</v>
      </c>
      <c r="D848" s="107">
        <v>45730</v>
      </c>
      <c r="E848" s="38">
        <v>1</v>
      </c>
      <c r="F848" s="109" t="s">
        <v>356</v>
      </c>
      <c r="G848" s="38">
        <v>30.4</v>
      </c>
      <c r="H848" s="37"/>
    </row>
    <row r="849" spans="3:8" ht="15.75" thickBot="1" x14ac:dyDescent="0.3">
      <c r="C849" s="106"/>
      <c r="D849" s="108"/>
      <c r="E849" s="40">
        <v>9</v>
      </c>
      <c r="F849" s="110"/>
      <c r="G849" s="40"/>
      <c r="H849" s="39">
        <v>30.4</v>
      </c>
    </row>
    <row r="850" spans="3:8" x14ac:dyDescent="0.25">
      <c r="C850" s="105">
        <v>403</v>
      </c>
      <c r="D850" s="107">
        <v>45730</v>
      </c>
      <c r="E850" s="38">
        <v>3</v>
      </c>
      <c r="F850" s="109" t="s">
        <v>392</v>
      </c>
      <c r="G850" s="38">
        <v>1675</v>
      </c>
      <c r="H850" s="37"/>
    </row>
    <row r="851" spans="3:8" ht="15.75" thickBot="1" x14ac:dyDescent="0.3">
      <c r="C851" s="106"/>
      <c r="D851" s="108"/>
      <c r="E851" s="40">
        <v>1</v>
      </c>
      <c r="F851" s="110"/>
      <c r="G851" s="40"/>
      <c r="H851" s="39">
        <v>1675</v>
      </c>
    </row>
    <row r="852" spans="3:8" x14ac:dyDescent="0.25">
      <c r="C852" s="105">
        <v>404</v>
      </c>
      <c r="D852" s="107">
        <v>45732</v>
      </c>
      <c r="E852" s="38">
        <v>1</v>
      </c>
      <c r="F852" s="109" t="s">
        <v>402</v>
      </c>
      <c r="G852" s="38">
        <v>688</v>
      </c>
      <c r="H852" s="37"/>
    </row>
    <row r="853" spans="3:8" ht="15.75" thickBot="1" x14ac:dyDescent="0.3">
      <c r="C853" s="106"/>
      <c r="D853" s="108"/>
      <c r="E853" s="40">
        <v>2</v>
      </c>
      <c r="F853" s="110"/>
      <c r="G853" s="40"/>
      <c r="H853" s="39">
        <v>688</v>
      </c>
    </row>
    <row r="854" spans="3:8" x14ac:dyDescent="0.25">
      <c r="C854" s="105">
        <v>405</v>
      </c>
      <c r="D854" s="107">
        <v>45732</v>
      </c>
      <c r="E854" s="38">
        <v>1</v>
      </c>
      <c r="F854" s="109" t="s">
        <v>30</v>
      </c>
      <c r="G854" s="38">
        <v>9.1</v>
      </c>
      <c r="H854" s="37"/>
    </row>
    <row r="855" spans="3:8" ht="15.75" thickBot="1" x14ac:dyDescent="0.3">
      <c r="C855" s="106"/>
      <c r="D855" s="108"/>
      <c r="E855" s="40">
        <v>5</v>
      </c>
      <c r="F855" s="110"/>
      <c r="G855" s="40"/>
      <c r="H855" s="39">
        <v>9.1</v>
      </c>
    </row>
    <row r="856" spans="3:8" x14ac:dyDescent="0.25">
      <c r="C856" s="105">
        <v>406</v>
      </c>
      <c r="D856" s="107">
        <v>45732</v>
      </c>
      <c r="E856" s="38">
        <v>1</v>
      </c>
      <c r="F856" s="109" t="s">
        <v>403</v>
      </c>
      <c r="G856" s="38">
        <v>10</v>
      </c>
      <c r="H856" s="37"/>
    </row>
    <row r="857" spans="3:8" ht="15.75" thickBot="1" x14ac:dyDescent="0.3">
      <c r="C857" s="106"/>
      <c r="D857" s="108"/>
      <c r="E857" s="40">
        <v>12</v>
      </c>
      <c r="F857" s="110"/>
      <c r="G857" s="40"/>
      <c r="H857" s="39">
        <v>10</v>
      </c>
    </row>
    <row r="858" spans="3:8" x14ac:dyDescent="0.25">
      <c r="C858" s="105">
        <v>407</v>
      </c>
      <c r="D858" s="107">
        <v>45732</v>
      </c>
      <c r="E858" s="38">
        <v>1</v>
      </c>
      <c r="F858" s="109" t="s">
        <v>134</v>
      </c>
      <c r="G858" s="38">
        <v>41.4</v>
      </c>
      <c r="H858" s="37"/>
    </row>
    <row r="859" spans="3:8" ht="15.75" thickBot="1" x14ac:dyDescent="0.3">
      <c r="C859" s="106"/>
      <c r="D859" s="108"/>
      <c r="E859" s="40">
        <v>7</v>
      </c>
      <c r="F859" s="110"/>
      <c r="G859" s="40"/>
      <c r="H859" s="39">
        <v>41.4</v>
      </c>
    </row>
    <row r="860" spans="3:8" x14ac:dyDescent="0.25">
      <c r="C860" s="105">
        <v>408</v>
      </c>
      <c r="D860" s="107">
        <v>45733</v>
      </c>
      <c r="E860" s="38">
        <v>3</v>
      </c>
      <c r="F860" s="109" t="s">
        <v>404</v>
      </c>
      <c r="G860" s="38">
        <v>807</v>
      </c>
      <c r="H860" s="37"/>
    </row>
    <row r="861" spans="3:8" ht="15.75" thickBot="1" x14ac:dyDescent="0.3">
      <c r="C861" s="106"/>
      <c r="D861" s="108"/>
      <c r="E861" s="40">
        <v>1</v>
      </c>
      <c r="F861" s="110"/>
      <c r="G861" s="40"/>
      <c r="H861" s="39">
        <v>807</v>
      </c>
    </row>
    <row r="862" spans="3:8" x14ac:dyDescent="0.25">
      <c r="C862" s="105">
        <v>409</v>
      </c>
      <c r="D862" s="107">
        <v>45733</v>
      </c>
      <c r="E862" s="38">
        <v>1</v>
      </c>
      <c r="F862" s="109" t="s">
        <v>30</v>
      </c>
      <c r="G862" s="38">
        <v>7.2</v>
      </c>
      <c r="H862" s="37"/>
    </row>
    <row r="863" spans="3:8" ht="15.75" thickBot="1" x14ac:dyDescent="0.3">
      <c r="C863" s="106"/>
      <c r="D863" s="108"/>
      <c r="E863" s="40">
        <v>5</v>
      </c>
      <c r="F863" s="110"/>
      <c r="G863" s="40"/>
      <c r="H863" s="39">
        <v>7.2</v>
      </c>
    </row>
    <row r="864" spans="3:8" x14ac:dyDescent="0.25">
      <c r="C864" s="105">
        <v>410</v>
      </c>
      <c r="D864" s="107">
        <v>45733</v>
      </c>
      <c r="E864" s="38">
        <v>1</v>
      </c>
      <c r="F864" s="109" t="s">
        <v>135</v>
      </c>
      <c r="G864" s="38">
        <v>35</v>
      </c>
      <c r="H864" s="37"/>
    </row>
    <row r="865" spans="3:8" ht="15.75" thickBot="1" x14ac:dyDescent="0.3">
      <c r="C865" s="106"/>
      <c r="D865" s="108"/>
      <c r="E865" s="40">
        <v>12</v>
      </c>
      <c r="F865" s="110"/>
      <c r="G865" s="40"/>
      <c r="H865" s="39">
        <v>35</v>
      </c>
    </row>
    <row r="866" spans="3:8" x14ac:dyDescent="0.25">
      <c r="C866" s="105">
        <v>411</v>
      </c>
      <c r="D866" s="107">
        <v>45733</v>
      </c>
      <c r="E866" s="38">
        <v>1</v>
      </c>
      <c r="F866" s="109" t="s">
        <v>7</v>
      </c>
      <c r="G866" s="38">
        <v>25</v>
      </c>
      <c r="H866" s="37"/>
    </row>
    <row r="867" spans="3:8" ht="15.75" thickBot="1" x14ac:dyDescent="0.3">
      <c r="C867" s="106"/>
      <c r="D867" s="108"/>
      <c r="E867" s="40">
        <v>2</v>
      </c>
      <c r="F867" s="110"/>
      <c r="G867" s="40"/>
      <c r="H867" s="39">
        <v>25</v>
      </c>
    </row>
    <row r="868" spans="3:8" x14ac:dyDescent="0.25">
      <c r="C868" s="105">
        <v>412</v>
      </c>
      <c r="D868" s="107">
        <v>45733</v>
      </c>
      <c r="E868" s="38">
        <v>4</v>
      </c>
      <c r="F868" s="109" t="s">
        <v>406</v>
      </c>
      <c r="G868" s="38">
        <v>75</v>
      </c>
      <c r="H868" s="37"/>
    </row>
    <row r="869" spans="3:8" ht="15.75" thickBot="1" x14ac:dyDescent="0.3">
      <c r="C869" s="106"/>
      <c r="D869" s="108"/>
      <c r="E869" s="40">
        <v>1</v>
      </c>
      <c r="F869" s="110"/>
      <c r="G869" s="40"/>
      <c r="H869" s="39">
        <v>75</v>
      </c>
    </row>
    <row r="870" spans="3:8" x14ac:dyDescent="0.25">
      <c r="C870" s="105">
        <v>413</v>
      </c>
      <c r="D870" s="107">
        <v>45734</v>
      </c>
      <c r="E870" s="38">
        <v>1</v>
      </c>
      <c r="F870" s="109" t="s">
        <v>30</v>
      </c>
      <c r="G870" s="38">
        <v>4.8</v>
      </c>
      <c r="H870" s="37"/>
    </row>
    <row r="871" spans="3:8" ht="15.75" thickBot="1" x14ac:dyDescent="0.3">
      <c r="C871" s="106"/>
      <c r="D871" s="108"/>
      <c r="E871" s="40">
        <v>5</v>
      </c>
      <c r="F871" s="110"/>
      <c r="G871" s="40"/>
      <c r="H871" s="39">
        <v>4.8</v>
      </c>
    </row>
    <row r="872" spans="3:8" x14ac:dyDescent="0.25">
      <c r="C872" s="105">
        <v>414</v>
      </c>
      <c r="D872" s="107">
        <v>45734</v>
      </c>
      <c r="E872" s="38">
        <v>1</v>
      </c>
      <c r="F872" s="109" t="s">
        <v>135</v>
      </c>
      <c r="G872" s="38">
        <v>4</v>
      </c>
      <c r="H872" s="37"/>
    </row>
    <row r="873" spans="3:8" ht="15.75" thickBot="1" x14ac:dyDescent="0.3">
      <c r="C873" s="106"/>
      <c r="D873" s="108"/>
      <c r="E873" s="40">
        <v>12</v>
      </c>
      <c r="F873" s="110"/>
      <c r="G873" s="40"/>
      <c r="H873" s="39">
        <v>4</v>
      </c>
    </row>
    <row r="874" spans="3:8" x14ac:dyDescent="0.25">
      <c r="C874" s="105">
        <v>415</v>
      </c>
      <c r="D874" s="107">
        <v>45734</v>
      </c>
      <c r="E874" s="38">
        <v>4</v>
      </c>
      <c r="F874" s="109" t="s">
        <v>237</v>
      </c>
      <c r="G874" s="38">
        <v>80</v>
      </c>
      <c r="H874" s="37"/>
    </row>
    <row r="875" spans="3:8" ht="15.75" thickBot="1" x14ac:dyDescent="0.3">
      <c r="C875" s="106"/>
      <c r="D875" s="108"/>
      <c r="E875" s="40">
        <v>1</v>
      </c>
      <c r="F875" s="110"/>
      <c r="G875" s="40"/>
      <c r="H875" s="39">
        <v>80</v>
      </c>
    </row>
    <row r="876" spans="3:8" x14ac:dyDescent="0.25">
      <c r="C876" s="105">
        <v>416</v>
      </c>
      <c r="D876" s="107">
        <v>45735</v>
      </c>
      <c r="E876" s="38">
        <v>1</v>
      </c>
      <c r="F876" s="109" t="s">
        <v>407</v>
      </c>
      <c r="G876" s="38">
        <v>110</v>
      </c>
      <c r="H876" s="37"/>
    </row>
    <row r="877" spans="3:8" ht="15.75" thickBot="1" x14ac:dyDescent="0.3">
      <c r="C877" s="106"/>
      <c r="D877" s="108"/>
      <c r="E877" s="40">
        <v>12</v>
      </c>
      <c r="F877" s="110"/>
      <c r="G877" s="40"/>
      <c r="H877" s="39">
        <v>110</v>
      </c>
    </row>
    <row r="878" spans="3:8" x14ac:dyDescent="0.25">
      <c r="C878" s="105">
        <v>417</v>
      </c>
      <c r="D878" s="107">
        <v>45735</v>
      </c>
      <c r="E878" s="38">
        <v>1</v>
      </c>
      <c r="F878" s="109" t="s">
        <v>135</v>
      </c>
      <c r="G878" s="38">
        <v>10</v>
      </c>
      <c r="H878" s="37"/>
    </row>
    <row r="879" spans="3:8" ht="15.75" thickBot="1" x14ac:dyDescent="0.3">
      <c r="C879" s="106"/>
      <c r="D879" s="108"/>
      <c r="E879" s="40">
        <v>12</v>
      </c>
      <c r="F879" s="110"/>
      <c r="G879" s="40"/>
      <c r="H879" s="39">
        <v>10</v>
      </c>
    </row>
    <row r="880" spans="3:8" x14ac:dyDescent="0.25">
      <c r="C880" s="105">
        <v>418</v>
      </c>
      <c r="D880" s="107">
        <v>45735</v>
      </c>
      <c r="E880" s="38">
        <v>1</v>
      </c>
      <c r="F880" s="109" t="s">
        <v>140</v>
      </c>
      <c r="G880" s="38">
        <v>166.6</v>
      </c>
      <c r="H880" s="37"/>
    </row>
    <row r="881" spans="3:8" ht="15.75" thickBot="1" x14ac:dyDescent="0.3">
      <c r="C881" s="106"/>
      <c r="D881" s="108"/>
      <c r="E881" s="40">
        <v>7</v>
      </c>
      <c r="F881" s="110"/>
      <c r="G881" s="40"/>
      <c r="H881" s="39">
        <v>166.6</v>
      </c>
    </row>
    <row r="882" spans="3:8" x14ac:dyDescent="0.25">
      <c r="C882" s="105">
        <v>419</v>
      </c>
      <c r="D882" s="107">
        <v>45737</v>
      </c>
      <c r="E882" s="38">
        <v>1</v>
      </c>
      <c r="F882" s="109" t="s">
        <v>408</v>
      </c>
      <c r="G882" s="38">
        <v>2200</v>
      </c>
      <c r="H882" s="37"/>
    </row>
    <row r="883" spans="3:8" ht="15.75" thickBot="1" x14ac:dyDescent="0.3">
      <c r="C883" s="106"/>
      <c r="D883" s="108"/>
      <c r="E883" s="40">
        <v>10</v>
      </c>
      <c r="F883" s="110"/>
      <c r="G883" s="40"/>
      <c r="H883" s="39">
        <v>2200</v>
      </c>
    </row>
    <row r="884" spans="3:8" x14ac:dyDescent="0.25">
      <c r="C884" s="105">
        <v>420</v>
      </c>
      <c r="D884" s="107">
        <v>45737</v>
      </c>
      <c r="E884" s="38">
        <v>1</v>
      </c>
      <c r="F884" s="109" t="s">
        <v>409</v>
      </c>
      <c r="G884" s="38">
        <v>450</v>
      </c>
      <c r="H884" s="37"/>
    </row>
    <row r="885" spans="3:8" ht="15.75" thickBot="1" x14ac:dyDescent="0.3">
      <c r="C885" s="106"/>
      <c r="D885" s="108"/>
      <c r="E885" s="40">
        <v>12</v>
      </c>
      <c r="F885" s="110"/>
      <c r="G885" s="40"/>
      <c r="H885" s="39">
        <v>450</v>
      </c>
    </row>
    <row r="886" spans="3:8" x14ac:dyDescent="0.25">
      <c r="C886" s="105">
        <v>421</v>
      </c>
      <c r="D886" s="107">
        <v>45737</v>
      </c>
      <c r="E886" s="38">
        <v>1</v>
      </c>
      <c r="F886" s="109" t="s">
        <v>309</v>
      </c>
      <c r="G886" s="38">
        <v>44</v>
      </c>
      <c r="H886" s="37"/>
    </row>
    <row r="887" spans="3:8" ht="15.75" thickBot="1" x14ac:dyDescent="0.3">
      <c r="C887" s="106"/>
      <c r="D887" s="108"/>
      <c r="E887" s="40">
        <v>11</v>
      </c>
      <c r="F887" s="110"/>
      <c r="G887" s="40"/>
      <c r="H887" s="39">
        <v>44</v>
      </c>
    </row>
    <row r="888" spans="3:8" x14ac:dyDescent="0.25">
      <c r="C888" s="105">
        <v>422</v>
      </c>
      <c r="D888" s="107">
        <v>45737</v>
      </c>
      <c r="E888" s="38">
        <v>1</v>
      </c>
      <c r="F888" s="109" t="s">
        <v>134</v>
      </c>
      <c r="G888" s="38">
        <v>13.2</v>
      </c>
      <c r="H888" s="37"/>
    </row>
    <row r="889" spans="3:8" ht="15.75" thickBot="1" x14ac:dyDescent="0.3">
      <c r="C889" s="106"/>
      <c r="D889" s="108"/>
      <c r="E889" s="40">
        <v>7</v>
      </c>
      <c r="F889" s="110"/>
      <c r="G889" s="40"/>
      <c r="H889" s="39">
        <v>13.2</v>
      </c>
    </row>
    <row r="890" spans="3:8" x14ac:dyDescent="0.25">
      <c r="C890" s="105">
        <v>423</v>
      </c>
      <c r="D890" s="107">
        <v>45737</v>
      </c>
      <c r="E890" s="38">
        <v>1</v>
      </c>
      <c r="F890" s="109" t="s">
        <v>135</v>
      </c>
      <c r="G890" s="38">
        <v>12</v>
      </c>
      <c r="H890" s="37"/>
    </row>
    <row r="891" spans="3:8" ht="15.75" thickBot="1" x14ac:dyDescent="0.3">
      <c r="C891" s="106"/>
      <c r="D891" s="108"/>
      <c r="E891" s="40">
        <v>12</v>
      </c>
      <c r="F891" s="110"/>
      <c r="G891" s="40"/>
      <c r="H891" s="39">
        <v>12</v>
      </c>
    </row>
    <row r="892" spans="3:8" x14ac:dyDescent="0.25">
      <c r="C892" s="105">
        <v>424</v>
      </c>
      <c r="D892" s="107">
        <v>45738</v>
      </c>
      <c r="E892" s="38">
        <v>4</v>
      </c>
      <c r="F892" s="109" t="s">
        <v>136</v>
      </c>
      <c r="G892" s="38">
        <v>75</v>
      </c>
      <c r="H892" s="37"/>
    </row>
    <row r="893" spans="3:8" ht="15.75" thickBot="1" x14ac:dyDescent="0.3">
      <c r="C893" s="106"/>
      <c r="D893" s="108"/>
      <c r="E893" s="40">
        <v>1</v>
      </c>
      <c r="F893" s="110"/>
      <c r="G893" s="40"/>
      <c r="H893" s="39">
        <v>75</v>
      </c>
    </row>
    <row r="894" spans="3:8" x14ac:dyDescent="0.25">
      <c r="C894" s="105">
        <v>425</v>
      </c>
      <c r="D894" s="107">
        <v>45738</v>
      </c>
      <c r="E894" s="38">
        <v>15</v>
      </c>
      <c r="F894" s="109" t="s">
        <v>320</v>
      </c>
      <c r="G894" s="38">
        <v>50</v>
      </c>
      <c r="H894" s="37"/>
    </row>
    <row r="895" spans="3:8" ht="15.75" thickBot="1" x14ac:dyDescent="0.3">
      <c r="C895" s="106"/>
      <c r="D895" s="108"/>
      <c r="E895" s="40">
        <v>1</v>
      </c>
      <c r="F895" s="110"/>
      <c r="G895" s="40"/>
      <c r="H895" s="39">
        <v>50</v>
      </c>
    </row>
    <row r="896" spans="3:8" x14ac:dyDescent="0.25">
      <c r="C896" s="105">
        <v>426</v>
      </c>
      <c r="D896" s="107">
        <v>45738</v>
      </c>
      <c r="E896" s="38">
        <v>1</v>
      </c>
      <c r="F896" s="109" t="s">
        <v>321</v>
      </c>
      <c r="G896" s="38">
        <v>53</v>
      </c>
      <c r="H896" s="37"/>
    </row>
    <row r="897" spans="3:8" ht="15.75" thickBot="1" x14ac:dyDescent="0.3">
      <c r="C897" s="106"/>
      <c r="D897" s="108"/>
      <c r="E897" s="40">
        <v>12</v>
      </c>
      <c r="F897" s="110"/>
      <c r="G897" s="40"/>
      <c r="H897" s="39">
        <v>53</v>
      </c>
    </row>
    <row r="898" spans="3:8" x14ac:dyDescent="0.25">
      <c r="C898" s="105">
        <v>427</v>
      </c>
      <c r="D898" s="107">
        <v>45739</v>
      </c>
      <c r="E898" s="38"/>
      <c r="F898" s="109" t="s">
        <v>410</v>
      </c>
      <c r="G898" s="38"/>
      <c r="H898" s="37"/>
    </row>
    <row r="899" spans="3:8" ht="15.75" thickBot="1" x14ac:dyDescent="0.3">
      <c r="C899" s="106"/>
      <c r="D899" s="108"/>
      <c r="E899" s="40"/>
      <c r="F899" s="110"/>
      <c r="G899" s="40"/>
      <c r="H899" s="39"/>
    </row>
    <row r="900" spans="3:8" x14ac:dyDescent="0.25">
      <c r="C900" s="105">
        <v>428</v>
      </c>
      <c r="D900" s="107">
        <v>45739</v>
      </c>
      <c r="E900" s="38">
        <v>1</v>
      </c>
      <c r="F900" s="109" t="s">
        <v>134</v>
      </c>
      <c r="G900" s="38">
        <v>10</v>
      </c>
      <c r="H900" s="37"/>
    </row>
    <row r="901" spans="3:8" ht="15.75" thickBot="1" x14ac:dyDescent="0.3">
      <c r="C901" s="106"/>
      <c r="D901" s="108"/>
      <c r="E901" s="40">
        <v>7</v>
      </c>
      <c r="F901" s="110"/>
      <c r="G901" s="40"/>
      <c r="H901" s="39">
        <v>10</v>
      </c>
    </row>
    <row r="902" spans="3:8" x14ac:dyDescent="0.25">
      <c r="C902" s="105">
        <v>429</v>
      </c>
      <c r="D902" s="107">
        <v>45739</v>
      </c>
      <c r="E902" s="38">
        <v>1</v>
      </c>
      <c r="F902" s="109" t="s">
        <v>135</v>
      </c>
      <c r="G902" s="38">
        <v>13</v>
      </c>
      <c r="H902" s="37"/>
    </row>
    <row r="903" spans="3:8" ht="15.75" thickBot="1" x14ac:dyDescent="0.3">
      <c r="C903" s="106"/>
      <c r="D903" s="108"/>
      <c r="E903" s="40">
        <v>12</v>
      </c>
      <c r="F903" s="110"/>
      <c r="G903" s="40"/>
      <c r="H903" s="39">
        <v>13</v>
      </c>
    </row>
    <row r="904" spans="3:8" x14ac:dyDescent="0.25">
      <c r="C904" s="105">
        <v>430</v>
      </c>
      <c r="D904" s="107">
        <v>45740</v>
      </c>
      <c r="E904" s="38">
        <v>1</v>
      </c>
      <c r="F904" s="109" t="s">
        <v>140</v>
      </c>
      <c r="G904" s="38">
        <v>170.7</v>
      </c>
      <c r="H904" s="37"/>
    </row>
    <row r="905" spans="3:8" ht="15.75" thickBot="1" x14ac:dyDescent="0.3">
      <c r="C905" s="106"/>
      <c r="D905" s="108"/>
      <c r="E905" s="40">
        <v>7</v>
      </c>
      <c r="F905" s="110"/>
      <c r="G905" s="40"/>
      <c r="H905" s="39">
        <v>170.7</v>
      </c>
    </row>
    <row r="906" spans="3:8" x14ac:dyDescent="0.25">
      <c r="C906" s="105">
        <v>431</v>
      </c>
      <c r="D906" s="107">
        <v>45740</v>
      </c>
      <c r="E906" s="38">
        <v>1</v>
      </c>
      <c r="F906" s="109" t="s">
        <v>309</v>
      </c>
      <c r="G906" s="38">
        <v>70</v>
      </c>
      <c r="H906" s="37"/>
    </row>
    <row r="907" spans="3:8" ht="15.75" thickBot="1" x14ac:dyDescent="0.3">
      <c r="C907" s="106"/>
      <c r="D907" s="108"/>
      <c r="E907" s="40">
        <v>11</v>
      </c>
      <c r="F907" s="110"/>
      <c r="G907" s="40"/>
      <c r="H907" s="39">
        <v>70</v>
      </c>
    </row>
    <row r="908" spans="3:8" x14ac:dyDescent="0.25">
      <c r="C908" s="105">
        <v>432</v>
      </c>
      <c r="D908" s="107">
        <v>45741</v>
      </c>
      <c r="E908" s="38">
        <v>1</v>
      </c>
      <c r="F908" s="109" t="s">
        <v>135</v>
      </c>
      <c r="G908" s="38">
        <v>23</v>
      </c>
      <c r="H908" s="37"/>
    </row>
    <row r="909" spans="3:8" ht="15.75" thickBot="1" x14ac:dyDescent="0.3">
      <c r="C909" s="106"/>
      <c r="D909" s="108"/>
      <c r="E909" s="40">
        <v>12</v>
      </c>
      <c r="F909" s="110"/>
      <c r="G909" s="40"/>
      <c r="H909" s="39">
        <v>23</v>
      </c>
    </row>
    <row r="910" spans="3:8" x14ac:dyDescent="0.25">
      <c r="C910" s="105">
        <v>433</v>
      </c>
      <c r="D910" s="107">
        <v>45741</v>
      </c>
      <c r="E910" s="38">
        <v>1</v>
      </c>
      <c r="F910" s="109" t="s">
        <v>30</v>
      </c>
      <c r="G910" s="38">
        <v>7.2</v>
      </c>
      <c r="H910" s="37"/>
    </row>
    <row r="911" spans="3:8" ht="15.75" thickBot="1" x14ac:dyDescent="0.3">
      <c r="C911" s="106"/>
      <c r="D911" s="108"/>
      <c r="E911" s="40">
        <v>5</v>
      </c>
      <c r="F911" s="110"/>
      <c r="G911" s="40"/>
      <c r="H911" s="39">
        <v>7.2</v>
      </c>
    </row>
    <row r="912" spans="3:8" x14ac:dyDescent="0.25">
      <c r="C912" s="105">
        <v>434</v>
      </c>
      <c r="D912" s="107">
        <v>45741</v>
      </c>
      <c r="E912" s="38">
        <v>4</v>
      </c>
      <c r="F912" s="109" t="s">
        <v>236</v>
      </c>
      <c r="G912" s="38">
        <v>75</v>
      </c>
      <c r="H912" s="37"/>
    </row>
    <row r="913" spans="3:8" ht="15.75" thickBot="1" x14ac:dyDescent="0.3">
      <c r="C913" s="106"/>
      <c r="D913" s="108"/>
      <c r="E913" s="40">
        <v>1</v>
      </c>
      <c r="F913" s="110"/>
      <c r="G913" s="40"/>
      <c r="H913" s="39">
        <v>75</v>
      </c>
    </row>
    <row r="914" spans="3:8" x14ac:dyDescent="0.25">
      <c r="C914" s="105">
        <v>435</v>
      </c>
      <c r="D914" s="107">
        <v>45742</v>
      </c>
      <c r="E914" s="38">
        <v>1</v>
      </c>
      <c r="F914" s="109" t="s">
        <v>135</v>
      </c>
      <c r="G914" s="38">
        <v>10</v>
      </c>
      <c r="H914" s="37"/>
    </row>
    <row r="915" spans="3:8" ht="15.75" thickBot="1" x14ac:dyDescent="0.3">
      <c r="C915" s="106"/>
      <c r="D915" s="108"/>
      <c r="E915" s="40">
        <v>12</v>
      </c>
      <c r="F915" s="110"/>
      <c r="G915" s="40"/>
      <c r="H915" s="39">
        <v>10</v>
      </c>
    </row>
    <row r="916" spans="3:8" x14ac:dyDescent="0.25">
      <c r="C916" s="105">
        <v>436</v>
      </c>
      <c r="D916" s="107">
        <v>45742</v>
      </c>
      <c r="E916" s="38">
        <v>4</v>
      </c>
      <c r="F916" s="109" t="s">
        <v>411</v>
      </c>
      <c r="G916" s="38">
        <v>150</v>
      </c>
      <c r="H916" s="37"/>
    </row>
    <row r="917" spans="3:8" ht="15.75" thickBot="1" x14ac:dyDescent="0.3">
      <c r="C917" s="106"/>
      <c r="D917" s="108"/>
      <c r="E917" s="40">
        <v>1</v>
      </c>
      <c r="F917" s="110"/>
      <c r="G917" s="40"/>
      <c r="H917" s="39">
        <v>150</v>
      </c>
    </row>
    <row r="918" spans="3:8" x14ac:dyDescent="0.25">
      <c r="C918" s="105">
        <v>437</v>
      </c>
      <c r="D918" s="107">
        <v>45742</v>
      </c>
      <c r="E918" s="38">
        <v>1</v>
      </c>
      <c r="F918" s="109" t="s">
        <v>412</v>
      </c>
      <c r="G918" s="38">
        <v>268.5</v>
      </c>
      <c r="H918" s="37"/>
    </row>
    <row r="919" spans="3:8" ht="15.75" thickBot="1" x14ac:dyDescent="0.3">
      <c r="C919" s="106"/>
      <c r="D919" s="108"/>
      <c r="E919" s="40">
        <v>12</v>
      </c>
      <c r="F919" s="110"/>
      <c r="G919" s="40"/>
      <c r="H919" s="39">
        <v>268.5</v>
      </c>
    </row>
    <row r="920" spans="3:8" x14ac:dyDescent="0.25">
      <c r="C920" s="105">
        <v>438</v>
      </c>
      <c r="D920" s="107">
        <v>45742</v>
      </c>
      <c r="E920" s="38">
        <v>15</v>
      </c>
      <c r="F920" s="109" t="s">
        <v>413</v>
      </c>
      <c r="G920" s="38">
        <v>400</v>
      </c>
      <c r="H920" s="37"/>
    </row>
    <row r="921" spans="3:8" ht="15.75" thickBot="1" x14ac:dyDescent="0.3">
      <c r="C921" s="106"/>
      <c r="D921" s="108"/>
      <c r="E921" s="40">
        <v>1</v>
      </c>
      <c r="F921" s="110"/>
      <c r="G921" s="40"/>
      <c r="H921" s="39">
        <v>400</v>
      </c>
    </row>
    <row r="922" spans="3:8" x14ac:dyDescent="0.25">
      <c r="C922" s="105">
        <v>439</v>
      </c>
      <c r="D922" s="107">
        <v>45742</v>
      </c>
      <c r="E922" s="38">
        <v>1</v>
      </c>
      <c r="F922" s="109" t="s">
        <v>134</v>
      </c>
      <c r="G922" s="38">
        <v>31.4</v>
      </c>
      <c r="H922" s="37"/>
    </row>
    <row r="923" spans="3:8" ht="15.75" thickBot="1" x14ac:dyDescent="0.3">
      <c r="C923" s="106"/>
      <c r="D923" s="108"/>
      <c r="E923" s="40">
        <v>7</v>
      </c>
      <c r="F923" s="110"/>
      <c r="G923" s="40"/>
      <c r="H923" s="39">
        <v>31.4</v>
      </c>
    </row>
    <row r="924" spans="3:8" x14ac:dyDescent="0.25">
      <c r="C924" s="105">
        <v>440</v>
      </c>
      <c r="D924" s="107">
        <v>45745</v>
      </c>
      <c r="E924" s="38">
        <v>1</v>
      </c>
      <c r="F924" s="109" t="s">
        <v>414</v>
      </c>
      <c r="G924" s="38">
        <v>800</v>
      </c>
      <c r="H924" s="37"/>
    </row>
    <row r="925" spans="3:8" ht="15.75" thickBot="1" x14ac:dyDescent="0.3">
      <c r="C925" s="106"/>
      <c r="D925" s="108"/>
      <c r="E925" s="40">
        <v>12</v>
      </c>
      <c r="F925" s="110"/>
      <c r="G925" s="40"/>
      <c r="H925" s="39">
        <v>800</v>
      </c>
    </row>
    <row r="926" spans="3:8" x14ac:dyDescent="0.25">
      <c r="C926" s="105">
        <v>441</v>
      </c>
      <c r="D926" s="107">
        <v>45746</v>
      </c>
      <c r="E926" s="38">
        <v>1</v>
      </c>
      <c r="F926" s="109" t="s">
        <v>30</v>
      </c>
      <c r="G926" s="38">
        <v>20</v>
      </c>
      <c r="H926" s="37"/>
    </row>
    <row r="927" spans="3:8" ht="15.75" thickBot="1" x14ac:dyDescent="0.3">
      <c r="C927" s="106"/>
      <c r="D927" s="108"/>
      <c r="E927" s="40">
        <v>5</v>
      </c>
      <c r="F927" s="110"/>
      <c r="G927" s="40"/>
      <c r="H927" s="39">
        <v>20</v>
      </c>
    </row>
    <row r="928" spans="3:8" x14ac:dyDescent="0.25">
      <c r="C928" s="105">
        <v>442</v>
      </c>
      <c r="D928" s="107">
        <v>45747</v>
      </c>
      <c r="E928" s="38">
        <v>1</v>
      </c>
      <c r="F928" s="109" t="s">
        <v>415</v>
      </c>
      <c r="G928" s="38">
        <v>23</v>
      </c>
      <c r="H928" s="37"/>
    </row>
    <row r="929" spans="3:12" ht="15.75" thickBot="1" x14ac:dyDescent="0.3">
      <c r="C929" s="106"/>
      <c r="D929" s="108"/>
      <c r="E929" s="40">
        <v>2</v>
      </c>
      <c r="F929" s="110"/>
      <c r="G929" s="40"/>
      <c r="H929" s="39">
        <v>23</v>
      </c>
    </row>
    <row r="930" spans="3:12" x14ac:dyDescent="0.25">
      <c r="C930" s="105">
        <v>443</v>
      </c>
      <c r="D930" s="107">
        <v>45747</v>
      </c>
      <c r="E930" s="38">
        <v>1</v>
      </c>
      <c r="F930" s="109" t="s">
        <v>140</v>
      </c>
      <c r="G930" s="38">
        <v>205.3</v>
      </c>
      <c r="H930" s="37"/>
    </row>
    <row r="931" spans="3:12" ht="15.75" thickBot="1" x14ac:dyDescent="0.3">
      <c r="C931" s="106"/>
      <c r="D931" s="108"/>
      <c r="E931" s="40">
        <v>7</v>
      </c>
      <c r="F931" s="110"/>
      <c r="G931" s="40"/>
      <c r="H931" s="39">
        <v>205.3</v>
      </c>
    </row>
    <row r="932" spans="3:12" x14ac:dyDescent="0.25">
      <c r="C932" s="105">
        <v>444</v>
      </c>
      <c r="D932" s="107">
        <v>45747</v>
      </c>
      <c r="E932" s="38">
        <v>1</v>
      </c>
      <c r="F932" s="109" t="s">
        <v>288</v>
      </c>
      <c r="G932" s="38">
        <v>79.58</v>
      </c>
      <c r="H932" s="37"/>
    </row>
    <row r="933" spans="3:12" ht="15.75" thickBot="1" x14ac:dyDescent="0.3">
      <c r="C933" s="106"/>
      <c r="D933" s="108"/>
      <c r="E933" s="40">
        <v>14</v>
      </c>
      <c r="F933" s="110"/>
      <c r="G933" s="40"/>
      <c r="H933" s="39">
        <v>79.58</v>
      </c>
    </row>
    <row r="934" spans="3:12" x14ac:dyDescent="0.25">
      <c r="C934" s="111">
        <v>445</v>
      </c>
      <c r="D934" s="89">
        <v>45747</v>
      </c>
      <c r="E934" s="90">
        <v>1</v>
      </c>
      <c r="F934" s="111" t="s">
        <v>289</v>
      </c>
      <c r="G934" s="90">
        <v>25.4</v>
      </c>
      <c r="H934" s="88"/>
    </row>
    <row r="935" spans="3:12" ht="15.75" thickBot="1" x14ac:dyDescent="0.3">
      <c r="C935" s="112"/>
      <c r="D935" s="92"/>
      <c r="E935" s="92">
        <v>12</v>
      </c>
      <c r="F935" s="112"/>
      <c r="G935" s="92"/>
      <c r="H935" s="91">
        <v>25.4</v>
      </c>
      <c r="K935" s="113" t="s">
        <v>290</v>
      </c>
      <c r="L935" s="113"/>
    </row>
    <row r="936" spans="3:12" ht="15.75" thickBot="1" x14ac:dyDescent="0.3">
      <c r="C936" s="114" t="s">
        <v>291</v>
      </c>
      <c r="D936" s="115"/>
      <c r="E936" s="116"/>
      <c r="F936" s="93" t="s">
        <v>292</v>
      </c>
      <c r="G936" s="94">
        <f>SUM(G754:G935)</f>
        <v>30085.010000000002</v>
      </c>
      <c r="H936" s="94">
        <f>SUM(H754:H935)</f>
        <v>30085.010000000002</v>
      </c>
      <c r="K936" s="49">
        <f>'Libros mayores'!B462+'Libros mayores'!F462+'Libros mayores'!J462+'Libros mayores'!N462+'Libros mayores'!R462+'Libros mayores'!V462+'Libros mayores'!Z462+'Libros mayores'!AD462+'Libros mayores'!AH462+'Libros mayores'!AL462+'Libros mayores'!AP462+'Libros mayores'!AT462+'Libros mayores'!AX462+'Libros mayores'!BB462+'Libros mayores'!BF462</f>
        <v>30085.010000000009</v>
      </c>
      <c r="L936" s="49">
        <f>'Libros mayores'!C462+'Libros mayores'!G462+'Libros mayores'!K462+'Libros mayores'!O462+'Libros mayores'!S462+'Libros mayores'!W462+'Libros mayores'!AA462+'Libros mayores'!AE462+'Libros mayores'!AI462+'Libros mayores'!AM462+'Libros mayores'!AQ462+'Libros mayores'!AU462+'Libros mayores'!AY462+'Libros mayores'!BC462+'Libros mayores'!BG462</f>
        <v>30085.010000000006</v>
      </c>
    </row>
    <row r="937" spans="3:12" ht="15.75" thickBot="1" x14ac:dyDescent="0.3">
      <c r="C937" s="117" t="s">
        <v>416</v>
      </c>
      <c r="D937" s="118"/>
      <c r="E937" s="118"/>
      <c r="F937" s="118"/>
      <c r="G937" s="118"/>
      <c r="H937" s="119"/>
    </row>
    <row r="938" spans="3:12" x14ac:dyDescent="0.25">
      <c r="C938" s="105">
        <v>446</v>
      </c>
      <c r="D938" s="107">
        <v>45748</v>
      </c>
      <c r="E938" s="38">
        <v>12</v>
      </c>
      <c r="F938" s="105" t="s">
        <v>417</v>
      </c>
      <c r="G938" s="38">
        <v>3.79</v>
      </c>
      <c r="H938" s="37"/>
    </row>
    <row r="939" spans="3:12" ht="15.75" thickBot="1" x14ac:dyDescent="0.3">
      <c r="C939" s="106"/>
      <c r="D939" s="108"/>
      <c r="E939" s="40">
        <v>1</v>
      </c>
      <c r="F939" s="106"/>
      <c r="G939" s="40"/>
      <c r="H939" s="39">
        <v>3.79</v>
      </c>
    </row>
    <row r="940" spans="3:12" x14ac:dyDescent="0.25">
      <c r="C940" s="105">
        <v>447</v>
      </c>
      <c r="D940" s="107">
        <v>45748</v>
      </c>
      <c r="E940" s="38">
        <v>1</v>
      </c>
      <c r="F940" s="109" t="s">
        <v>418</v>
      </c>
      <c r="G940" s="38">
        <v>14.94</v>
      </c>
      <c r="H940" s="37"/>
    </row>
    <row r="941" spans="3:12" ht="15.75" thickBot="1" x14ac:dyDescent="0.3">
      <c r="C941" s="106"/>
      <c r="D941" s="108"/>
      <c r="E941" s="40">
        <v>12</v>
      </c>
      <c r="F941" s="110"/>
      <c r="G941" s="40"/>
      <c r="H941" s="39">
        <v>14.94</v>
      </c>
    </row>
    <row r="942" spans="3:12" x14ac:dyDescent="0.25">
      <c r="C942" s="105">
        <v>448</v>
      </c>
      <c r="D942" s="107">
        <v>45748</v>
      </c>
      <c r="E942" s="38">
        <v>1</v>
      </c>
      <c r="F942" s="109" t="s">
        <v>135</v>
      </c>
      <c r="G942" s="38">
        <v>19</v>
      </c>
      <c r="H942" s="37"/>
    </row>
    <row r="943" spans="3:12" ht="15.75" thickBot="1" x14ac:dyDescent="0.3">
      <c r="C943" s="106"/>
      <c r="D943" s="108"/>
      <c r="E943" s="40">
        <v>12</v>
      </c>
      <c r="F943" s="110"/>
      <c r="G943" s="40"/>
      <c r="H943" s="39">
        <v>19</v>
      </c>
    </row>
    <row r="944" spans="3:12" x14ac:dyDescent="0.25">
      <c r="C944" s="105">
        <v>449</v>
      </c>
      <c r="D944" s="107">
        <v>45748</v>
      </c>
      <c r="E944" s="38">
        <v>3</v>
      </c>
      <c r="F944" s="109" t="s">
        <v>420</v>
      </c>
      <c r="G944" s="38">
        <v>1047</v>
      </c>
      <c r="H944" s="37"/>
    </row>
    <row r="945" spans="3:8" ht="15.75" thickBot="1" x14ac:dyDescent="0.3">
      <c r="C945" s="106"/>
      <c r="D945" s="108"/>
      <c r="E945" s="40">
        <v>1</v>
      </c>
      <c r="F945" s="110"/>
      <c r="G945" s="40"/>
      <c r="H945" s="39">
        <v>1047</v>
      </c>
    </row>
    <row r="946" spans="3:8" x14ac:dyDescent="0.25">
      <c r="C946" s="105">
        <v>450</v>
      </c>
      <c r="D946" s="107">
        <v>45748</v>
      </c>
      <c r="E946" s="38">
        <v>1</v>
      </c>
      <c r="F946" s="109" t="s">
        <v>30</v>
      </c>
      <c r="G946" s="38">
        <v>1.8</v>
      </c>
      <c r="H946" s="37"/>
    </row>
    <row r="947" spans="3:8" ht="15.75" thickBot="1" x14ac:dyDescent="0.3">
      <c r="C947" s="106"/>
      <c r="D947" s="108"/>
      <c r="E947" s="40">
        <v>5</v>
      </c>
      <c r="F947" s="110"/>
      <c r="G947" s="40"/>
      <c r="H947" s="39">
        <v>1.8</v>
      </c>
    </row>
    <row r="948" spans="3:8" x14ac:dyDescent="0.25">
      <c r="C948" s="105">
        <v>451</v>
      </c>
      <c r="D948" s="107">
        <v>45748</v>
      </c>
      <c r="E948" s="38">
        <v>1</v>
      </c>
      <c r="F948" s="109" t="s">
        <v>7</v>
      </c>
      <c r="G948" s="38">
        <v>440.63</v>
      </c>
      <c r="H948" s="37"/>
    </row>
    <row r="949" spans="3:8" ht="15.75" thickBot="1" x14ac:dyDescent="0.3">
      <c r="C949" s="106"/>
      <c r="D949" s="108"/>
      <c r="E949" s="40">
        <v>2</v>
      </c>
      <c r="F949" s="110"/>
      <c r="G949" s="40"/>
      <c r="H949" s="39">
        <v>440.63</v>
      </c>
    </row>
    <row r="950" spans="3:8" x14ac:dyDescent="0.25">
      <c r="C950" s="105">
        <v>452</v>
      </c>
      <c r="D950" s="107">
        <v>45749</v>
      </c>
      <c r="E950" s="38">
        <v>1</v>
      </c>
      <c r="F950" s="109" t="s">
        <v>134</v>
      </c>
      <c r="G950" s="38">
        <v>13.9</v>
      </c>
      <c r="H950" s="37"/>
    </row>
    <row r="951" spans="3:8" ht="15.75" thickBot="1" x14ac:dyDescent="0.3">
      <c r="C951" s="106"/>
      <c r="D951" s="108"/>
      <c r="E951" s="40">
        <v>7</v>
      </c>
      <c r="F951" s="110"/>
      <c r="G951" s="40"/>
      <c r="H951" s="39">
        <v>13.9</v>
      </c>
    </row>
    <row r="952" spans="3:8" x14ac:dyDescent="0.25">
      <c r="C952" s="105">
        <v>453</v>
      </c>
      <c r="D952" s="107">
        <v>45751</v>
      </c>
      <c r="E952" s="38">
        <v>4</v>
      </c>
      <c r="F952" s="109" t="s">
        <v>236</v>
      </c>
      <c r="G952" s="38">
        <v>75</v>
      </c>
      <c r="H952" s="37"/>
    </row>
    <row r="953" spans="3:8" ht="15.75" thickBot="1" x14ac:dyDescent="0.3">
      <c r="C953" s="106"/>
      <c r="D953" s="108"/>
      <c r="E953" s="40">
        <v>1</v>
      </c>
      <c r="F953" s="110"/>
      <c r="G953" s="40"/>
      <c r="H953" s="39">
        <v>75</v>
      </c>
    </row>
    <row r="954" spans="3:8" x14ac:dyDescent="0.25">
      <c r="C954" s="105">
        <v>454</v>
      </c>
      <c r="D954" s="107">
        <v>45751</v>
      </c>
      <c r="E954" s="38">
        <v>4</v>
      </c>
      <c r="F954" s="109" t="s">
        <v>236</v>
      </c>
      <c r="G954" s="38">
        <v>75</v>
      </c>
      <c r="H954" s="37"/>
    </row>
    <row r="955" spans="3:8" ht="15.75" thickBot="1" x14ac:dyDescent="0.3">
      <c r="C955" s="106"/>
      <c r="D955" s="108"/>
      <c r="E955" s="40">
        <v>1</v>
      </c>
      <c r="F955" s="110"/>
      <c r="G955" s="40"/>
      <c r="H955" s="39">
        <v>75</v>
      </c>
    </row>
    <row r="956" spans="3:8" x14ac:dyDescent="0.25">
      <c r="C956" s="105">
        <v>455</v>
      </c>
      <c r="D956" s="107">
        <v>45751</v>
      </c>
      <c r="E956" s="38">
        <v>4</v>
      </c>
      <c r="F956" s="109" t="s">
        <v>236</v>
      </c>
      <c r="G956" s="38">
        <v>75</v>
      </c>
      <c r="H956" s="37"/>
    </row>
    <row r="957" spans="3:8" ht="15.75" thickBot="1" x14ac:dyDescent="0.3">
      <c r="C957" s="106"/>
      <c r="D957" s="108"/>
      <c r="E957" s="40">
        <v>1</v>
      </c>
      <c r="F957" s="110"/>
      <c r="G957" s="40"/>
      <c r="H957" s="39">
        <v>75</v>
      </c>
    </row>
    <row r="958" spans="3:8" x14ac:dyDescent="0.25">
      <c r="C958" s="105">
        <v>456</v>
      </c>
      <c r="D958" s="107">
        <v>45751</v>
      </c>
      <c r="E958" s="38">
        <v>4</v>
      </c>
      <c r="F958" s="109" t="s">
        <v>423</v>
      </c>
      <c r="G958" s="38">
        <v>80</v>
      </c>
      <c r="H958" s="37"/>
    </row>
    <row r="959" spans="3:8" ht="15.75" thickBot="1" x14ac:dyDescent="0.3">
      <c r="C959" s="106"/>
      <c r="D959" s="108"/>
      <c r="E959" s="40">
        <v>1</v>
      </c>
      <c r="F959" s="110"/>
      <c r="G959" s="40"/>
      <c r="H959" s="39">
        <v>80</v>
      </c>
    </row>
    <row r="960" spans="3:8" x14ac:dyDescent="0.25">
      <c r="C960" s="105">
        <v>457</v>
      </c>
      <c r="D960" s="107">
        <v>45751</v>
      </c>
      <c r="E960" s="38">
        <v>1</v>
      </c>
      <c r="F960" s="109" t="s">
        <v>134</v>
      </c>
      <c r="G960" s="38">
        <v>39.4</v>
      </c>
      <c r="H960" s="37"/>
    </row>
    <row r="961" spans="3:8" ht="15.75" thickBot="1" x14ac:dyDescent="0.3">
      <c r="C961" s="106"/>
      <c r="D961" s="108"/>
      <c r="E961" s="40">
        <v>7</v>
      </c>
      <c r="F961" s="110"/>
      <c r="G961" s="40"/>
      <c r="H961" s="39">
        <v>39.4</v>
      </c>
    </row>
    <row r="962" spans="3:8" x14ac:dyDescent="0.25">
      <c r="C962" s="105">
        <v>458</v>
      </c>
      <c r="D962" s="107">
        <v>45752</v>
      </c>
      <c r="E962" s="38">
        <v>4</v>
      </c>
      <c r="F962" s="109" t="s">
        <v>424</v>
      </c>
      <c r="G962" s="38">
        <v>75</v>
      </c>
      <c r="H962" s="37"/>
    </row>
    <row r="963" spans="3:8" ht="15.75" thickBot="1" x14ac:dyDescent="0.3">
      <c r="C963" s="106"/>
      <c r="D963" s="108"/>
      <c r="E963" s="40">
        <v>1</v>
      </c>
      <c r="F963" s="110"/>
      <c r="G963" s="40"/>
      <c r="H963" s="39">
        <v>75</v>
      </c>
    </row>
    <row r="964" spans="3:8" x14ac:dyDescent="0.25">
      <c r="C964" s="105">
        <v>459</v>
      </c>
      <c r="D964" s="107">
        <v>45752</v>
      </c>
      <c r="E964" s="38">
        <v>15</v>
      </c>
      <c r="F964" s="109" t="s">
        <v>320</v>
      </c>
      <c r="G964" s="38">
        <v>100</v>
      </c>
      <c r="H964" s="37"/>
    </row>
    <row r="965" spans="3:8" ht="15.75" thickBot="1" x14ac:dyDescent="0.3">
      <c r="C965" s="106"/>
      <c r="D965" s="108"/>
      <c r="E965" s="40">
        <v>1</v>
      </c>
      <c r="F965" s="110"/>
      <c r="G965" s="40"/>
      <c r="H965" s="39">
        <v>100</v>
      </c>
    </row>
    <row r="966" spans="3:8" x14ac:dyDescent="0.25">
      <c r="C966" s="105">
        <v>460</v>
      </c>
      <c r="D966" s="107">
        <v>45752</v>
      </c>
      <c r="E966" s="38">
        <v>1</v>
      </c>
      <c r="F966" s="109" t="s">
        <v>321</v>
      </c>
      <c r="G966" s="38">
        <v>32.5</v>
      </c>
      <c r="H966" s="37"/>
    </row>
    <row r="967" spans="3:8" ht="15.75" thickBot="1" x14ac:dyDescent="0.3">
      <c r="C967" s="106"/>
      <c r="D967" s="108"/>
      <c r="E967" s="40">
        <v>12</v>
      </c>
      <c r="F967" s="110"/>
      <c r="G967" s="40"/>
      <c r="H967" s="39">
        <v>32.5</v>
      </c>
    </row>
    <row r="968" spans="3:8" x14ac:dyDescent="0.25">
      <c r="C968" s="105">
        <v>461</v>
      </c>
      <c r="D968" s="107">
        <v>45752</v>
      </c>
      <c r="E968" s="38">
        <v>1</v>
      </c>
      <c r="F968" s="109" t="s">
        <v>134</v>
      </c>
      <c r="G968" s="38">
        <v>30</v>
      </c>
      <c r="H968" s="37"/>
    </row>
    <row r="969" spans="3:8" ht="15.75" thickBot="1" x14ac:dyDescent="0.3">
      <c r="C969" s="106"/>
      <c r="D969" s="108"/>
      <c r="E969" s="40">
        <v>7</v>
      </c>
      <c r="F969" s="110"/>
      <c r="G969" s="40"/>
      <c r="H969" s="39">
        <v>30</v>
      </c>
    </row>
    <row r="970" spans="3:8" x14ac:dyDescent="0.25">
      <c r="C970" s="105">
        <v>462</v>
      </c>
      <c r="D970" s="107">
        <v>45752</v>
      </c>
      <c r="E970" s="38">
        <v>1</v>
      </c>
      <c r="F970" s="109" t="s">
        <v>7</v>
      </c>
      <c r="G970" s="38">
        <v>32</v>
      </c>
      <c r="H970" s="37"/>
    </row>
    <row r="971" spans="3:8" ht="15.75" thickBot="1" x14ac:dyDescent="0.3">
      <c r="C971" s="106"/>
      <c r="D971" s="108"/>
      <c r="E971" s="40">
        <v>2</v>
      </c>
      <c r="F971" s="110"/>
      <c r="G971" s="40"/>
      <c r="H971" s="39">
        <v>32</v>
      </c>
    </row>
    <row r="972" spans="3:8" x14ac:dyDescent="0.25">
      <c r="C972" s="105">
        <v>463</v>
      </c>
      <c r="D972" s="107">
        <v>45753</v>
      </c>
      <c r="E972" s="38">
        <v>3</v>
      </c>
      <c r="F972" s="109" t="s">
        <v>426</v>
      </c>
      <c r="G972" s="38">
        <v>2254</v>
      </c>
      <c r="H972" s="37"/>
    </row>
    <row r="973" spans="3:8" ht="15.75" thickBot="1" x14ac:dyDescent="0.3">
      <c r="C973" s="106"/>
      <c r="D973" s="108"/>
      <c r="E973" s="40">
        <v>1</v>
      </c>
      <c r="F973" s="110"/>
      <c r="G973" s="40"/>
      <c r="H973" s="39">
        <v>2254</v>
      </c>
    </row>
    <row r="974" spans="3:8" x14ac:dyDescent="0.25">
      <c r="C974" s="105">
        <v>464</v>
      </c>
      <c r="D974" s="107">
        <v>45753</v>
      </c>
      <c r="E974" s="38">
        <v>1</v>
      </c>
      <c r="F974" s="109" t="s">
        <v>134</v>
      </c>
      <c r="G974" s="38">
        <v>28.5</v>
      </c>
      <c r="H974" s="37"/>
    </row>
    <row r="975" spans="3:8" ht="15.75" thickBot="1" x14ac:dyDescent="0.3">
      <c r="C975" s="106"/>
      <c r="D975" s="108"/>
      <c r="E975" s="40">
        <v>7</v>
      </c>
      <c r="F975" s="110"/>
      <c r="G975" s="40"/>
      <c r="H975" s="39">
        <v>28.5</v>
      </c>
    </row>
    <row r="976" spans="3:8" x14ac:dyDescent="0.25">
      <c r="C976" s="105">
        <v>465</v>
      </c>
      <c r="D976" s="107">
        <v>45753</v>
      </c>
      <c r="E976" s="38">
        <v>1</v>
      </c>
      <c r="F976" s="109" t="s">
        <v>135</v>
      </c>
      <c r="G976" s="38">
        <v>17</v>
      </c>
      <c r="H976" s="37"/>
    </row>
    <row r="977" spans="3:8" ht="15.75" thickBot="1" x14ac:dyDescent="0.3">
      <c r="C977" s="106"/>
      <c r="D977" s="108"/>
      <c r="E977" s="40">
        <v>12</v>
      </c>
      <c r="F977" s="110"/>
      <c r="G977" s="40"/>
      <c r="H977" s="39">
        <v>17</v>
      </c>
    </row>
    <row r="978" spans="3:8" x14ac:dyDescent="0.25">
      <c r="C978" s="105">
        <v>466</v>
      </c>
      <c r="D978" s="107">
        <v>45754</v>
      </c>
      <c r="E978" s="38">
        <v>1</v>
      </c>
      <c r="F978" s="109" t="s">
        <v>7</v>
      </c>
      <c r="G978" s="38">
        <v>301.5</v>
      </c>
      <c r="H978" s="37"/>
    </row>
    <row r="979" spans="3:8" ht="15.75" thickBot="1" x14ac:dyDescent="0.3">
      <c r="C979" s="106"/>
      <c r="D979" s="108"/>
      <c r="E979" s="40">
        <v>2</v>
      </c>
      <c r="F979" s="110"/>
      <c r="G979" s="40"/>
      <c r="H979" s="39">
        <v>301.5</v>
      </c>
    </row>
    <row r="980" spans="3:8" x14ac:dyDescent="0.25">
      <c r="C980" s="105">
        <v>467</v>
      </c>
      <c r="D980" s="107">
        <v>45754</v>
      </c>
      <c r="E980" s="38">
        <v>1</v>
      </c>
      <c r="F980" s="109" t="s">
        <v>30</v>
      </c>
      <c r="G980" s="38">
        <v>7.2</v>
      </c>
      <c r="H980" s="37"/>
    </row>
    <row r="981" spans="3:8" ht="15.75" thickBot="1" x14ac:dyDescent="0.3">
      <c r="C981" s="106"/>
      <c r="D981" s="108"/>
      <c r="E981" s="40">
        <v>5</v>
      </c>
      <c r="F981" s="110"/>
      <c r="G981" s="40"/>
      <c r="H981" s="39">
        <v>7.2</v>
      </c>
    </row>
    <row r="982" spans="3:8" x14ac:dyDescent="0.25">
      <c r="C982" s="105">
        <v>468</v>
      </c>
      <c r="D982" s="107">
        <v>45754</v>
      </c>
      <c r="E982" s="38">
        <v>4</v>
      </c>
      <c r="F982" s="109" t="s">
        <v>236</v>
      </c>
      <c r="G982" s="38">
        <v>100</v>
      </c>
      <c r="H982" s="37"/>
    </row>
    <row r="983" spans="3:8" ht="15.75" thickBot="1" x14ac:dyDescent="0.3">
      <c r="C983" s="106"/>
      <c r="D983" s="108"/>
      <c r="E983" s="40">
        <v>1</v>
      </c>
      <c r="F983" s="110"/>
      <c r="G983" s="40"/>
      <c r="H983" s="39">
        <v>100</v>
      </c>
    </row>
    <row r="984" spans="3:8" x14ac:dyDescent="0.25">
      <c r="C984" s="105">
        <v>469</v>
      </c>
      <c r="D984" s="107">
        <v>45754</v>
      </c>
      <c r="E984" s="38">
        <v>4</v>
      </c>
      <c r="F984" s="109" t="s">
        <v>199</v>
      </c>
      <c r="G984" s="38">
        <v>200</v>
      </c>
      <c r="H984" s="37"/>
    </row>
    <row r="985" spans="3:8" ht="15.75" thickBot="1" x14ac:dyDescent="0.3">
      <c r="C985" s="106"/>
      <c r="D985" s="108"/>
      <c r="E985" s="40">
        <v>1</v>
      </c>
      <c r="F985" s="110"/>
      <c r="G985" s="40"/>
      <c r="H985" s="39">
        <v>200</v>
      </c>
    </row>
    <row r="986" spans="3:8" x14ac:dyDescent="0.25">
      <c r="C986" s="105">
        <v>470</v>
      </c>
      <c r="D986" s="107">
        <v>45755</v>
      </c>
      <c r="E986" s="38">
        <v>1</v>
      </c>
      <c r="F986" s="109" t="s">
        <v>309</v>
      </c>
      <c r="G986" s="38">
        <v>44</v>
      </c>
      <c r="H986" s="37"/>
    </row>
    <row r="987" spans="3:8" ht="15.75" thickBot="1" x14ac:dyDescent="0.3">
      <c r="C987" s="106"/>
      <c r="D987" s="108"/>
      <c r="E987" s="40">
        <v>11</v>
      </c>
      <c r="F987" s="110"/>
      <c r="G987" s="40"/>
      <c r="H987" s="39">
        <v>44</v>
      </c>
    </row>
    <row r="988" spans="3:8" x14ac:dyDescent="0.25">
      <c r="C988" s="105">
        <v>471</v>
      </c>
      <c r="D988" s="107">
        <v>45755</v>
      </c>
      <c r="E988" s="38">
        <v>1</v>
      </c>
      <c r="F988" s="109" t="s">
        <v>134</v>
      </c>
      <c r="G988" s="38">
        <v>81.5</v>
      </c>
      <c r="H988" s="37"/>
    </row>
    <row r="989" spans="3:8" ht="15.75" thickBot="1" x14ac:dyDescent="0.3">
      <c r="C989" s="106"/>
      <c r="D989" s="108"/>
      <c r="E989" s="40">
        <v>7</v>
      </c>
      <c r="F989" s="110"/>
      <c r="G989" s="40"/>
      <c r="H989" s="39">
        <v>81.5</v>
      </c>
    </row>
    <row r="990" spans="3:8" x14ac:dyDescent="0.25">
      <c r="C990" s="105">
        <v>472</v>
      </c>
      <c r="D990" s="107">
        <v>45755</v>
      </c>
      <c r="E990" s="38">
        <v>4</v>
      </c>
      <c r="F990" s="109" t="s">
        <v>236</v>
      </c>
      <c r="G990" s="38">
        <v>75</v>
      </c>
      <c r="H990" s="37"/>
    </row>
    <row r="991" spans="3:8" ht="15.75" thickBot="1" x14ac:dyDescent="0.3">
      <c r="C991" s="106"/>
      <c r="D991" s="108"/>
      <c r="E991" s="40">
        <v>1</v>
      </c>
      <c r="F991" s="110"/>
      <c r="G991" s="40"/>
      <c r="H991" s="39">
        <v>75</v>
      </c>
    </row>
    <row r="992" spans="3:8" x14ac:dyDescent="0.25">
      <c r="C992" s="105">
        <v>473</v>
      </c>
      <c r="D992" s="107">
        <v>45755</v>
      </c>
      <c r="E992" s="38">
        <v>4</v>
      </c>
      <c r="F992" s="109" t="s">
        <v>311</v>
      </c>
      <c r="G992" s="38">
        <v>75</v>
      </c>
      <c r="H992" s="37"/>
    </row>
    <row r="993" spans="3:8" ht="15.75" thickBot="1" x14ac:dyDescent="0.3">
      <c r="C993" s="106"/>
      <c r="D993" s="108"/>
      <c r="E993" s="40">
        <v>1</v>
      </c>
      <c r="F993" s="110"/>
      <c r="G993" s="40"/>
      <c r="H993" s="39">
        <v>75</v>
      </c>
    </row>
    <row r="994" spans="3:8" x14ac:dyDescent="0.25">
      <c r="C994" s="105">
        <v>474</v>
      </c>
      <c r="D994" s="107">
        <v>45755</v>
      </c>
      <c r="E994" s="38">
        <v>1</v>
      </c>
      <c r="F994" s="109" t="s">
        <v>183</v>
      </c>
      <c r="G994" s="38">
        <v>10</v>
      </c>
      <c r="H994" s="37"/>
    </row>
    <row r="995" spans="3:8" ht="15.75" thickBot="1" x14ac:dyDescent="0.3">
      <c r="C995" s="106"/>
      <c r="D995" s="108"/>
      <c r="E995" s="40">
        <v>5</v>
      </c>
      <c r="F995" s="110"/>
      <c r="G995" s="40"/>
      <c r="H995" s="39">
        <v>10</v>
      </c>
    </row>
    <row r="996" spans="3:8" x14ac:dyDescent="0.25">
      <c r="C996" s="105">
        <v>475</v>
      </c>
      <c r="D996" s="107">
        <v>45755</v>
      </c>
      <c r="E996" s="38">
        <v>1</v>
      </c>
      <c r="F996" s="109" t="s">
        <v>135</v>
      </c>
      <c r="G996" s="38">
        <v>4</v>
      </c>
      <c r="H996" s="37"/>
    </row>
    <row r="997" spans="3:8" ht="15.75" thickBot="1" x14ac:dyDescent="0.3">
      <c r="C997" s="106"/>
      <c r="D997" s="108"/>
      <c r="E997" s="40">
        <v>12</v>
      </c>
      <c r="F997" s="110"/>
      <c r="G997" s="40"/>
      <c r="H997" s="39">
        <v>4</v>
      </c>
    </row>
    <row r="998" spans="3:8" x14ac:dyDescent="0.25">
      <c r="C998" s="105">
        <v>476</v>
      </c>
      <c r="D998" s="107">
        <v>45755</v>
      </c>
      <c r="E998" s="38">
        <v>1</v>
      </c>
      <c r="F998" s="109" t="s">
        <v>30</v>
      </c>
      <c r="G998" s="38">
        <v>2.4</v>
      </c>
      <c r="H998" s="37"/>
    </row>
    <row r="999" spans="3:8" ht="15.75" thickBot="1" x14ac:dyDescent="0.3">
      <c r="C999" s="106"/>
      <c r="D999" s="108"/>
      <c r="E999" s="40">
        <v>5</v>
      </c>
      <c r="F999" s="110"/>
      <c r="G999" s="40"/>
      <c r="H999" s="39">
        <v>2.4</v>
      </c>
    </row>
    <row r="1000" spans="3:8" x14ac:dyDescent="0.25">
      <c r="C1000" s="105">
        <v>477</v>
      </c>
      <c r="D1000" s="107">
        <v>45756</v>
      </c>
      <c r="E1000" s="38">
        <v>1</v>
      </c>
      <c r="F1000" s="109" t="s">
        <v>431</v>
      </c>
      <c r="G1000" s="38">
        <v>225</v>
      </c>
      <c r="H1000" s="37"/>
    </row>
    <row r="1001" spans="3:8" ht="15.75" thickBot="1" x14ac:dyDescent="0.3">
      <c r="C1001" s="106"/>
      <c r="D1001" s="108"/>
      <c r="E1001" s="40">
        <v>2</v>
      </c>
      <c r="F1001" s="110"/>
      <c r="G1001" s="40"/>
      <c r="H1001" s="39">
        <v>225</v>
      </c>
    </row>
    <row r="1002" spans="3:8" x14ac:dyDescent="0.25">
      <c r="C1002" s="105">
        <v>478</v>
      </c>
      <c r="D1002" s="107">
        <v>45756</v>
      </c>
      <c r="E1002" s="38">
        <v>1</v>
      </c>
      <c r="F1002" s="109" t="s">
        <v>135</v>
      </c>
      <c r="G1002" s="38">
        <v>5</v>
      </c>
      <c r="H1002" s="37"/>
    </row>
    <row r="1003" spans="3:8" ht="15.75" thickBot="1" x14ac:dyDescent="0.3">
      <c r="C1003" s="106"/>
      <c r="D1003" s="108"/>
      <c r="E1003" s="40">
        <v>12</v>
      </c>
      <c r="F1003" s="110"/>
      <c r="G1003" s="40"/>
      <c r="H1003" s="39">
        <v>5</v>
      </c>
    </row>
    <row r="1004" spans="3:8" x14ac:dyDescent="0.25">
      <c r="C1004" s="105">
        <v>479</v>
      </c>
      <c r="D1004" s="107">
        <v>45756</v>
      </c>
      <c r="E1004" s="38">
        <v>1</v>
      </c>
      <c r="F1004" s="109" t="s">
        <v>30</v>
      </c>
      <c r="G1004" s="38">
        <v>1.8</v>
      </c>
      <c r="H1004" s="37"/>
    </row>
    <row r="1005" spans="3:8" ht="15.75" thickBot="1" x14ac:dyDescent="0.3">
      <c r="C1005" s="106"/>
      <c r="D1005" s="108"/>
      <c r="E1005" s="40">
        <v>5</v>
      </c>
      <c r="F1005" s="110"/>
      <c r="G1005" s="40"/>
      <c r="H1005" s="39">
        <v>1.8</v>
      </c>
    </row>
    <row r="1006" spans="3:8" x14ac:dyDescent="0.25">
      <c r="C1006" s="105">
        <v>480</v>
      </c>
      <c r="D1006" s="107">
        <v>45757</v>
      </c>
      <c r="E1006" s="38">
        <v>15</v>
      </c>
      <c r="F1006" s="109" t="s">
        <v>413</v>
      </c>
      <c r="G1006" s="38">
        <v>2000</v>
      </c>
      <c r="H1006" s="37"/>
    </row>
    <row r="1007" spans="3:8" ht="15.75" thickBot="1" x14ac:dyDescent="0.3">
      <c r="C1007" s="106"/>
      <c r="D1007" s="108"/>
      <c r="E1007" s="40">
        <v>1</v>
      </c>
      <c r="F1007" s="110"/>
      <c r="G1007" s="40"/>
      <c r="H1007" s="39">
        <v>2000</v>
      </c>
    </row>
    <row r="1008" spans="3:8" x14ac:dyDescent="0.25">
      <c r="C1008" s="105">
        <v>481</v>
      </c>
      <c r="D1008" s="107">
        <v>45757</v>
      </c>
      <c r="E1008" s="38">
        <v>3</v>
      </c>
      <c r="F1008" s="109" t="s">
        <v>432</v>
      </c>
      <c r="G1008" s="38">
        <v>318</v>
      </c>
      <c r="H1008" s="37"/>
    </row>
    <row r="1009" spans="3:8" ht="15.75" thickBot="1" x14ac:dyDescent="0.3">
      <c r="C1009" s="106"/>
      <c r="D1009" s="108"/>
      <c r="E1009" s="40">
        <v>1</v>
      </c>
      <c r="F1009" s="110"/>
      <c r="G1009" s="40"/>
      <c r="H1009" s="39">
        <v>318</v>
      </c>
    </row>
    <row r="1010" spans="3:8" x14ac:dyDescent="0.25">
      <c r="C1010" s="105">
        <v>482</v>
      </c>
      <c r="D1010" s="107">
        <v>45758</v>
      </c>
      <c r="E1010" s="38">
        <v>1</v>
      </c>
      <c r="F1010" s="109" t="s">
        <v>7</v>
      </c>
      <c r="G1010" s="38">
        <v>1194.5</v>
      </c>
      <c r="H1010" s="37"/>
    </row>
    <row r="1011" spans="3:8" ht="15.75" thickBot="1" x14ac:dyDescent="0.3">
      <c r="C1011" s="106"/>
      <c r="D1011" s="108"/>
      <c r="E1011" s="40">
        <v>2</v>
      </c>
      <c r="F1011" s="110"/>
      <c r="G1011" s="40"/>
      <c r="H1011" s="39">
        <v>1194.5</v>
      </c>
    </row>
    <row r="1012" spans="3:8" x14ac:dyDescent="0.25">
      <c r="C1012" s="105">
        <v>483</v>
      </c>
      <c r="D1012" s="107">
        <v>45759</v>
      </c>
      <c r="E1012" s="38">
        <v>1</v>
      </c>
      <c r="F1012" s="109" t="s">
        <v>321</v>
      </c>
      <c r="G1012" s="38">
        <v>45</v>
      </c>
      <c r="H1012" s="37"/>
    </row>
    <row r="1013" spans="3:8" ht="15.75" thickBot="1" x14ac:dyDescent="0.3">
      <c r="C1013" s="106"/>
      <c r="D1013" s="108"/>
      <c r="E1013" s="40">
        <v>12</v>
      </c>
      <c r="F1013" s="110"/>
      <c r="G1013" s="40"/>
      <c r="H1013" s="39">
        <v>45</v>
      </c>
    </row>
    <row r="1014" spans="3:8" x14ac:dyDescent="0.25">
      <c r="C1014" s="105">
        <v>484</v>
      </c>
      <c r="D1014" s="107">
        <v>45761</v>
      </c>
      <c r="E1014" s="38">
        <v>1</v>
      </c>
      <c r="F1014" s="109" t="s">
        <v>434</v>
      </c>
      <c r="G1014" s="38">
        <v>160</v>
      </c>
      <c r="H1014" s="37"/>
    </row>
    <row r="1015" spans="3:8" ht="15.75" thickBot="1" x14ac:dyDescent="0.3">
      <c r="C1015" s="106"/>
      <c r="D1015" s="108"/>
      <c r="E1015" s="40">
        <v>12</v>
      </c>
      <c r="F1015" s="110"/>
      <c r="G1015" s="40"/>
      <c r="H1015" s="39">
        <v>160</v>
      </c>
    </row>
    <row r="1016" spans="3:8" x14ac:dyDescent="0.25">
      <c r="C1016" s="105">
        <v>485</v>
      </c>
      <c r="D1016" s="107">
        <v>45761</v>
      </c>
      <c r="E1016" s="38">
        <v>1</v>
      </c>
      <c r="F1016" s="109" t="s">
        <v>30</v>
      </c>
      <c r="G1016" s="38">
        <v>2.4</v>
      </c>
      <c r="H1016" s="37"/>
    </row>
    <row r="1017" spans="3:8" ht="15.75" thickBot="1" x14ac:dyDescent="0.3">
      <c r="C1017" s="106"/>
      <c r="D1017" s="108"/>
      <c r="E1017" s="40">
        <v>5</v>
      </c>
      <c r="F1017" s="110"/>
      <c r="G1017" s="40"/>
      <c r="H1017" s="39">
        <v>2.4</v>
      </c>
    </row>
    <row r="1018" spans="3:8" x14ac:dyDescent="0.25">
      <c r="C1018" s="105">
        <v>486</v>
      </c>
      <c r="D1018" s="107">
        <v>45762</v>
      </c>
      <c r="E1018" s="38">
        <v>3</v>
      </c>
      <c r="F1018" s="109" t="s">
        <v>435</v>
      </c>
      <c r="G1018" s="38">
        <v>1450</v>
      </c>
      <c r="H1018" s="37"/>
    </row>
    <row r="1019" spans="3:8" ht="15.75" thickBot="1" x14ac:dyDescent="0.3">
      <c r="C1019" s="106"/>
      <c r="D1019" s="108"/>
      <c r="E1019" s="40">
        <v>1</v>
      </c>
      <c r="F1019" s="110"/>
      <c r="G1019" s="40"/>
      <c r="H1019" s="39">
        <v>1450</v>
      </c>
    </row>
    <row r="1020" spans="3:8" x14ac:dyDescent="0.25">
      <c r="C1020" s="105">
        <v>487</v>
      </c>
      <c r="D1020" s="107">
        <v>45762</v>
      </c>
      <c r="E1020" s="38">
        <v>3</v>
      </c>
      <c r="F1020" s="109" t="s">
        <v>436</v>
      </c>
      <c r="G1020" s="38">
        <v>2029</v>
      </c>
      <c r="H1020" s="37"/>
    </row>
    <row r="1021" spans="3:8" ht="15.75" thickBot="1" x14ac:dyDescent="0.3">
      <c r="C1021" s="106"/>
      <c r="D1021" s="108"/>
      <c r="E1021" s="40">
        <v>1</v>
      </c>
      <c r="F1021" s="110"/>
      <c r="G1021" s="40"/>
      <c r="H1021" s="39">
        <v>2029</v>
      </c>
    </row>
    <row r="1022" spans="3:8" x14ac:dyDescent="0.25">
      <c r="C1022" s="105">
        <v>488</v>
      </c>
      <c r="D1022" s="107">
        <v>45762</v>
      </c>
      <c r="E1022" s="38">
        <v>1</v>
      </c>
      <c r="F1022" s="109" t="s">
        <v>134</v>
      </c>
      <c r="G1022" s="38">
        <v>17</v>
      </c>
      <c r="H1022" s="37"/>
    </row>
    <row r="1023" spans="3:8" ht="15.75" thickBot="1" x14ac:dyDescent="0.3">
      <c r="C1023" s="106"/>
      <c r="D1023" s="108"/>
      <c r="E1023" s="40">
        <v>7</v>
      </c>
      <c r="F1023" s="110"/>
      <c r="G1023" s="40"/>
      <c r="H1023" s="39">
        <v>17</v>
      </c>
    </row>
    <row r="1024" spans="3:8" x14ac:dyDescent="0.25">
      <c r="C1024" s="105">
        <v>489</v>
      </c>
      <c r="D1024" s="107">
        <v>45762</v>
      </c>
      <c r="E1024" s="38">
        <v>1</v>
      </c>
      <c r="F1024" s="109" t="s">
        <v>135</v>
      </c>
      <c r="G1024" s="38">
        <v>20</v>
      </c>
      <c r="H1024" s="37"/>
    </row>
    <row r="1025" spans="3:8" ht="15.75" thickBot="1" x14ac:dyDescent="0.3">
      <c r="C1025" s="106"/>
      <c r="D1025" s="108"/>
      <c r="E1025" s="40">
        <v>12</v>
      </c>
      <c r="F1025" s="110"/>
      <c r="G1025" s="40"/>
      <c r="H1025" s="39">
        <v>20</v>
      </c>
    </row>
    <row r="1026" spans="3:8" x14ac:dyDescent="0.25">
      <c r="C1026" s="105">
        <v>490</v>
      </c>
      <c r="D1026" s="107">
        <v>45762</v>
      </c>
      <c r="E1026" s="38">
        <v>1</v>
      </c>
      <c r="F1026" s="109" t="s">
        <v>30</v>
      </c>
      <c r="G1026" s="38">
        <v>7.2</v>
      </c>
      <c r="H1026" s="37"/>
    </row>
    <row r="1027" spans="3:8" ht="15.75" thickBot="1" x14ac:dyDescent="0.3">
      <c r="C1027" s="106"/>
      <c r="D1027" s="108"/>
      <c r="E1027" s="40">
        <v>5</v>
      </c>
      <c r="F1027" s="110"/>
      <c r="G1027" s="40"/>
      <c r="H1027" s="39">
        <v>7.2</v>
      </c>
    </row>
    <row r="1028" spans="3:8" x14ac:dyDescent="0.25">
      <c r="C1028" s="105">
        <v>491</v>
      </c>
      <c r="D1028" s="107">
        <v>45737</v>
      </c>
      <c r="E1028" s="38">
        <v>1</v>
      </c>
      <c r="F1028" s="109" t="s">
        <v>438</v>
      </c>
      <c r="G1028" s="38">
        <v>4600</v>
      </c>
      <c r="H1028" s="37"/>
    </row>
    <row r="1029" spans="3:8" ht="15.75" thickBot="1" x14ac:dyDescent="0.3">
      <c r="C1029" s="106"/>
      <c r="D1029" s="108"/>
      <c r="E1029" s="40">
        <v>10</v>
      </c>
      <c r="F1029" s="110"/>
      <c r="G1029" s="40"/>
      <c r="H1029" s="39">
        <v>4600</v>
      </c>
    </row>
    <row r="1030" spans="3:8" x14ac:dyDescent="0.25">
      <c r="C1030" s="105">
        <v>492</v>
      </c>
      <c r="D1030" s="107">
        <v>45763</v>
      </c>
      <c r="E1030" s="38">
        <v>3</v>
      </c>
      <c r="F1030" s="109" t="s">
        <v>437</v>
      </c>
      <c r="G1030" s="38">
        <v>2220</v>
      </c>
      <c r="H1030" s="37"/>
    </row>
    <row r="1031" spans="3:8" ht="15.75" thickBot="1" x14ac:dyDescent="0.3">
      <c r="C1031" s="106"/>
      <c r="D1031" s="108"/>
      <c r="E1031" s="40">
        <v>1</v>
      </c>
      <c r="F1031" s="110"/>
      <c r="G1031" s="40"/>
      <c r="H1031" s="39">
        <v>2220</v>
      </c>
    </row>
    <row r="1032" spans="3:8" x14ac:dyDescent="0.25">
      <c r="C1032" s="105">
        <v>493</v>
      </c>
      <c r="D1032" s="107">
        <v>45763</v>
      </c>
      <c r="E1032" s="38">
        <v>1</v>
      </c>
      <c r="F1032" s="109" t="s">
        <v>134</v>
      </c>
      <c r="G1032" s="38">
        <v>67.599999999999994</v>
      </c>
      <c r="H1032" s="37"/>
    </row>
    <row r="1033" spans="3:8" ht="15.75" thickBot="1" x14ac:dyDescent="0.3">
      <c r="C1033" s="106"/>
      <c r="D1033" s="108"/>
      <c r="E1033" s="40">
        <v>7</v>
      </c>
      <c r="F1033" s="110"/>
      <c r="G1033" s="40"/>
      <c r="H1033" s="39">
        <v>67.599999999999994</v>
      </c>
    </row>
    <row r="1034" spans="3:8" x14ac:dyDescent="0.25">
      <c r="C1034" s="105">
        <v>494</v>
      </c>
      <c r="D1034" s="107">
        <v>45763</v>
      </c>
      <c r="E1034" s="38">
        <v>1</v>
      </c>
      <c r="F1034" s="109" t="s">
        <v>135</v>
      </c>
      <c r="G1034" s="38">
        <v>18</v>
      </c>
      <c r="H1034" s="37"/>
    </row>
    <row r="1035" spans="3:8" ht="15.75" thickBot="1" x14ac:dyDescent="0.3">
      <c r="C1035" s="106"/>
      <c r="D1035" s="108"/>
      <c r="E1035" s="40">
        <v>12</v>
      </c>
      <c r="F1035" s="110"/>
      <c r="G1035" s="40"/>
      <c r="H1035" s="39">
        <v>18</v>
      </c>
    </row>
    <row r="1036" spans="3:8" x14ac:dyDescent="0.25">
      <c r="C1036" s="105">
        <v>495</v>
      </c>
      <c r="D1036" s="107">
        <v>45763</v>
      </c>
      <c r="E1036" s="38">
        <v>1</v>
      </c>
      <c r="F1036" s="109" t="s">
        <v>30</v>
      </c>
      <c r="G1036" s="38">
        <v>2.4</v>
      </c>
      <c r="H1036" s="37"/>
    </row>
    <row r="1037" spans="3:8" ht="15.75" thickBot="1" x14ac:dyDescent="0.3">
      <c r="C1037" s="106"/>
      <c r="D1037" s="108"/>
      <c r="E1037" s="40">
        <v>5</v>
      </c>
      <c r="F1037" s="110"/>
      <c r="G1037" s="40"/>
      <c r="H1037" s="39">
        <v>2.4</v>
      </c>
    </row>
    <row r="1038" spans="3:8" x14ac:dyDescent="0.25">
      <c r="C1038" s="105">
        <v>496</v>
      </c>
      <c r="D1038" s="107">
        <v>45763</v>
      </c>
      <c r="E1038" s="38">
        <v>1</v>
      </c>
      <c r="F1038" s="109" t="s">
        <v>438</v>
      </c>
      <c r="G1038" s="38">
        <v>110</v>
      </c>
      <c r="H1038" s="37"/>
    </row>
    <row r="1039" spans="3:8" ht="15.75" thickBot="1" x14ac:dyDescent="0.3">
      <c r="C1039" s="106"/>
      <c r="D1039" s="108"/>
      <c r="E1039" s="40">
        <v>10</v>
      </c>
      <c r="F1039" s="110"/>
      <c r="G1039" s="40"/>
      <c r="H1039" s="39">
        <v>110</v>
      </c>
    </row>
    <row r="1040" spans="3:8" x14ac:dyDescent="0.25">
      <c r="C1040" s="105">
        <v>497</v>
      </c>
      <c r="D1040" s="107">
        <v>45764</v>
      </c>
      <c r="E1040" s="38">
        <v>1</v>
      </c>
      <c r="F1040" s="109" t="s">
        <v>135</v>
      </c>
      <c r="G1040" s="38">
        <v>13.5</v>
      </c>
      <c r="H1040" s="37"/>
    </row>
    <row r="1041" spans="3:17" ht="15.75" thickBot="1" x14ac:dyDescent="0.3">
      <c r="C1041" s="106"/>
      <c r="D1041" s="108"/>
      <c r="E1041" s="40">
        <v>12</v>
      </c>
      <c r="F1041" s="110"/>
      <c r="G1041" s="40"/>
      <c r="H1041" s="39">
        <v>13.5</v>
      </c>
      <c r="N1041">
        <v>900</v>
      </c>
      <c r="O1041">
        <v>520</v>
      </c>
      <c r="P1041">
        <f>N1041-O1041</f>
        <v>380</v>
      </c>
    </row>
    <row r="1042" spans="3:17" x14ac:dyDescent="0.25">
      <c r="C1042" s="105">
        <v>498</v>
      </c>
      <c r="D1042" s="107">
        <v>45764</v>
      </c>
      <c r="E1042" s="38">
        <v>1</v>
      </c>
      <c r="F1042" s="109" t="s">
        <v>30</v>
      </c>
      <c r="G1042" s="38">
        <v>2.4</v>
      </c>
      <c r="H1042" s="37"/>
      <c r="N1042">
        <v>9.4</v>
      </c>
      <c r="O1042">
        <v>4.5</v>
      </c>
      <c r="P1042">
        <f>N1042-O1042</f>
        <v>4.9000000000000004</v>
      </c>
    </row>
    <row r="1043" spans="3:17" ht="15.75" thickBot="1" x14ac:dyDescent="0.3">
      <c r="C1043" s="106"/>
      <c r="D1043" s="108"/>
      <c r="E1043" s="40">
        <v>5</v>
      </c>
      <c r="F1043" s="110"/>
      <c r="G1043" s="40"/>
      <c r="H1043" s="39">
        <v>2.4</v>
      </c>
      <c r="O1043">
        <f>O1041+O1042</f>
        <v>524.5</v>
      </c>
      <c r="P1043">
        <f>P1042+P1041</f>
        <v>384.9</v>
      </c>
    </row>
    <row r="1044" spans="3:17" x14ac:dyDescent="0.25">
      <c r="C1044" s="105">
        <v>499</v>
      </c>
      <c r="D1044" s="107">
        <v>45765</v>
      </c>
      <c r="E1044" s="38">
        <v>1</v>
      </c>
      <c r="F1044" s="109" t="s">
        <v>140</v>
      </c>
      <c r="G1044" s="38">
        <v>219.8</v>
      </c>
      <c r="H1044" s="37"/>
    </row>
    <row r="1045" spans="3:17" ht="15.75" thickBot="1" x14ac:dyDescent="0.3">
      <c r="C1045" s="106"/>
      <c r="D1045" s="108"/>
      <c r="E1045" s="40">
        <v>7</v>
      </c>
      <c r="F1045" s="110"/>
      <c r="G1045" s="40"/>
      <c r="H1045" s="39">
        <v>219.8</v>
      </c>
    </row>
    <row r="1046" spans="3:17" x14ac:dyDescent="0.25">
      <c r="C1046" s="105">
        <v>500</v>
      </c>
      <c r="D1046" s="107">
        <v>45765</v>
      </c>
      <c r="E1046" s="38">
        <v>1</v>
      </c>
      <c r="F1046" s="109" t="s">
        <v>183</v>
      </c>
      <c r="G1046" s="38">
        <v>10</v>
      </c>
      <c r="H1046" s="37"/>
    </row>
    <row r="1047" spans="3:17" ht="15.75" thickBot="1" x14ac:dyDescent="0.3">
      <c r="C1047" s="106"/>
      <c r="D1047" s="108"/>
      <c r="E1047" s="40">
        <v>5</v>
      </c>
      <c r="F1047" s="110"/>
      <c r="G1047" s="40"/>
      <c r="H1047" s="39">
        <v>10</v>
      </c>
    </row>
    <row r="1048" spans="3:17" x14ac:dyDescent="0.25">
      <c r="C1048" s="105">
        <v>501</v>
      </c>
      <c r="D1048" s="107">
        <v>45765</v>
      </c>
      <c r="E1048" s="38">
        <v>3</v>
      </c>
      <c r="F1048" s="109" t="s">
        <v>439</v>
      </c>
      <c r="G1048" s="38">
        <v>1011</v>
      </c>
      <c r="H1048" s="37"/>
    </row>
    <row r="1049" spans="3:17" ht="15.75" thickBot="1" x14ac:dyDescent="0.3">
      <c r="C1049" s="106"/>
      <c r="D1049" s="108"/>
      <c r="E1049" s="40">
        <v>1</v>
      </c>
      <c r="F1049" s="110"/>
      <c r="G1049" s="40"/>
      <c r="H1049" s="39">
        <v>1011</v>
      </c>
      <c r="N1049" t="s">
        <v>441</v>
      </c>
      <c r="O1049" t="s">
        <v>445</v>
      </c>
      <c r="P1049">
        <v>150</v>
      </c>
    </row>
    <row r="1050" spans="3:17" x14ac:dyDescent="0.25">
      <c r="C1050" s="105">
        <v>502</v>
      </c>
      <c r="D1050" s="107">
        <v>45766</v>
      </c>
      <c r="E1050" s="38">
        <v>1</v>
      </c>
      <c r="F1050" s="109" t="s">
        <v>345</v>
      </c>
      <c r="G1050" s="38">
        <v>39</v>
      </c>
      <c r="H1050" s="37"/>
      <c r="O1050" t="s">
        <v>443</v>
      </c>
      <c r="P1050">
        <v>45</v>
      </c>
    </row>
    <row r="1051" spans="3:17" ht="15.75" thickBot="1" x14ac:dyDescent="0.3">
      <c r="C1051" s="106"/>
      <c r="D1051" s="108"/>
      <c r="E1051" s="40">
        <v>12</v>
      </c>
      <c r="F1051" s="110"/>
      <c r="G1051" s="40"/>
      <c r="H1051" s="39">
        <v>39</v>
      </c>
      <c r="O1051" t="s">
        <v>444</v>
      </c>
      <c r="P1051">
        <v>12</v>
      </c>
    </row>
    <row r="1052" spans="3:17" x14ac:dyDescent="0.25">
      <c r="C1052" s="105">
        <v>503</v>
      </c>
      <c r="D1052" s="107">
        <v>45768</v>
      </c>
      <c r="E1052" s="38">
        <v>1</v>
      </c>
      <c r="F1052" s="109" t="s">
        <v>440</v>
      </c>
      <c r="G1052" s="38">
        <v>300</v>
      </c>
      <c r="H1052" s="37"/>
      <c r="O1052" t="s">
        <v>442</v>
      </c>
      <c r="P1052">
        <v>55</v>
      </c>
      <c r="Q1052">
        <f>SUM(P1049:P1052)</f>
        <v>262</v>
      </c>
    </row>
    <row r="1053" spans="3:17" ht="15.75" thickBot="1" x14ac:dyDescent="0.3">
      <c r="C1053" s="106"/>
      <c r="D1053" s="108"/>
      <c r="E1053" s="40">
        <v>15</v>
      </c>
      <c r="F1053" s="110"/>
      <c r="G1053" s="40"/>
      <c r="H1053" s="39">
        <v>300</v>
      </c>
    </row>
    <row r="1054" spans="3:17" x14ac:dyDescent="0.25">
      <c r="C1054" s="105">
        <v>504</v>
      </c>
      <c r="D1054" s="107">
        <v>45768</v>
      </c>
      <c r="E1054" s="38">
        <v>1</v>
      </c>
      <c r="F1054" s="109" t="s">
        <v>412</v>
      </c>
      <c r="G1054" s="38">
        <v>262</v>
      </c>
      <c r="H1054" s="37"/>
      <c r="N1054" t="s">
        <v>446</v>
      </c>
      <c r="P1054">
        <v>122.9</v>
      </c>
    </row>
    <row r="1055" spans="3:17" ht="15.75" thickBot="1" x14ac:dyDescent="0.3">
      <c r="C1055" s="106"/>
      <c r="D1055" s="108"/>
      <c r="E1055" s="40">
        <v>12</v>
      </c>
      <c r="F1055" s="110"/>
      <c r="G1055" s="40"/>
      <c r="H1055" s="39">
        <v>262</v>
      </c>
    </row>
    <row r="1056" spans="3:17" x14ac:dyDescent="0.25">
      <c r="C1056" s="105">
        <v>505</v>
      </c>
      <c r="D1056" s="107">
        <v>45768</v>
      </c>
      <c r="E1056" s="38">
        <v>1</v>
      </c>
      <c r="F1056" s="109" t="s">
        <v>140</v>
      </c>
      <c r="G1056" s="38">
        <v>122.9</v>
      </c>
      <c r="H1056" s="37"/>
      <c r="P1056">
        <f>SUM(P1049:P1054)</f>
        <v>384.9</v>
      </c>
    </row>
    <row r="1057" spans="3:12" ht="15.75" thickBot="1" x14ac:dyDescent="0.3">
      <c r="C1057" s="106"/>
      <c r="D1057" s="108"/>
      <c r="E1057" s="40">
        <v>7</v>
      </c>
      <c r="F1057" s="110"/>
      <c r="G1057" s="40"/>
      <c r="H1057" s="39">
        <v>122.9</v>
      </c>
      <c r="K1057" s="113" t="s">
        <v>290</v>
      </c>
      <c r="L1057" s="113"/>
    </row>
    <row r="1058" spans="3:12" x14ac:dyDescent="0.25">
      <c r="G1058" s="3">
        <f>SUM(G938:G1057)</f>
        <v>21828.560000000001</v>
      </c>
      <c r="H1058" s="4">
        <f>SUM(H938:H1057)</f>
        <v>21828.560000000001</v>
      </c>
      <c r="K1058" s="49">
        <f>'Libros mayores'!B525+'Libros mayores'!F525+'Libros mayores'!J525+'Libros mayores'!N525+'Libros mayores'!R525+'Libros mayores'!V525+'Libros mayores'!Z525+'Libros mayores'!AD525+'Libros mayores'!AH525+'Libros mayores'!AL525+'Libros mayores'!AP525+'Libros mayores'!AT525+'Libros mayores'!AX525+'Libros mayores'!BB525+'Libros mayores'!BF525</f>
        <v>21828.559999999998</v>
      </c>
      <c r="L1058" s="49">
        <f>'Libros mayores'!C525+'Libros mayores'!G525+'Libros mayores'!K525+'Libros mayores'!O525+'Libros mayores'!S525+'Libros mayores'!W525+'Libros mayores'!AA525+'Libros mayores'!AE525+'Libros mayores'!AI525+'Libros mayores'!AM525+'Libros mayores'!AQ525+'Libros mayores'!AU525+'Libros mayores'!AY525+'Libros mayores'!BC525+'Libros mayores'!BG525</f>
        <v>21828.560000000001</v>
      </c>
    </row>
  </sheetData>
  <mergeCells count="1542">
    <mergeCell ref="C1050:C1051"/>
    <mergeCell ref="D1050:D1051"/>
    <mergeCell ref="F1050:F1051"/>
    <mergeCell ref="C1052:C1053"/>
    <mergeCell ref="D1052:D1053"/>
    <mergeCell ref="F1052:F1053"/>
    <mergeCell ref="C1054:C1055"/>
    <mergeCell ref="D1054:D1055"/>
    <mergeCell ref="F1054:F1055"/>
    <mergeCell ref="C1056:C1057"/>
    <mergeCell ref="D1056:D1057"/>
    <mergeCell ref="F1056:F1057"/>
    <mergeCell ref="K1057:L1057"/>
    <mergeCell ref="C1038:C1039"/>
    <mergeCell ref="D1038:D1039"/>
    <mergeCell ref="F1038:F1039"/>
    <mergeCell ref="C1040:C1041"/>
    <mergeCell ref="D1040:D1041"/>
    <mergeCell ref="F1040:F1041"/>
    <mergeCell ref="C1042:C1043"/>
    <mergeCell ref="D1042:D1043"/>
    <mergeCell ref="F1042:F1043"/>
    <mergeCell ref="C1044:C1045"/>
    <mergeCell ref="D1044:D1045"/>
    <mergeCell ref="F1044:F1045"/>
    <mergeCell ref="C1046:C1047"/>
    <mergeCell ref="D1046:D1047"/>
    <mergeCell ref="F1046:F1047"/>
    <mergeCell ref="C1048:C1049"/>
    <mergeCell ref="D1048:D1049"/>
    <mergeCell ref="F1048:F1049"/>
    <mergeCell ref="C1024:C1025"/>
    <mergeCell ref="D1024:D1025"/>
    <mergeCell ref="F1024:F1025"/>
    <mergeCell ref="C1026:C1027"/>
    <mergeCell ref="D1026:D1027"/>
    <mergeCell ref="F1026:F1027"/>
    <mergeCell ref="C1030:C1031"/>
    <mergeCell ref="D1030:D1031"/>
    <mergeCell ref="F1030:F1031"/>
    <mergeCell ref="C1032:C1033"/>
    <mergeCell ref="D1032:D1033"/>
    <mergeCell ref="F1032:F1033"/>
    <mergeCell ref="C1034:C1035"/>
    <mergeCell ref="D1034:D1035"/>
    <mergeCell ref="F1034:F1035"/>
    <mergeCell ref="C1036:C1037"/>
    <mergeCell ref="D1036:D1037"/>
    <mergeCell ref="F1036:F1037"/>
    <mergeCell ref="C1028:C1029"/>
    <mergeCell ref="D1028:D1029"/>
    <mergeCell ref="F1028:F1029"/>
    <mergeCell ref="C1012:C1013"/>
    <mergeCell ref="D1012:D1013"/>
    <mergeCell ref="F1012:F1013"/>
    <mergeCell ref="C1014:C1015"/>
    <mergeCell ref="D1014:D1015"/>
    <mergeCell ref="F1014:F1015"/>
    <mergeCell ref="C1016:C1017"/>
    <mergeCell ref="D1016:D1017"/>
    <mergeCell ref="F1016:F1017"/>
    <mergeCell ref="C1018:C1019"/>
    <mergeCell ref="D1018:D1019"/>
    <mergeCell ref="F1018:F1019"/>
    <mergeCell ref="C1020:C1021"/>
    <mergeCell ref="D1020:D1021"/>
    <mergeCell ref="F1020:F1021"/>
    <mergeCell ref="C1022:C1023"/>
    <mergeCell ref="D1022:D1023"/>
    <mergeCell ref="F1022:F1023"/>
    <mergeCell ref="C1000:C1001"/>
    <mergeCell ref="D1000:D1001"/>
    <mergeCell ref="F1000:F1001"/>
    <mergeCell ref="C1002:C1003"/>
    <mergeCell ref="D1002:D1003"/>
    <mergeCell ref="F1002:F1003"/>
    <mergeCell ref="C1004:C1005"/>
    <mergeCell ref="D1004:D1005"/>
    <mergeCell ref="F1004:F1005"/>
    <mergeCell ref="C1006:C1007"/>
    <mergeCell ref="D1006:D1007"/>
    <mergeCell ref="F1006:F1007"/>
    <mergeCell ref="C1008:C1009"/>
    <mergeCell ref="D1008:D1009"/>
    <mergeCell ref="F1008:F1009"/>
    <mergeCell ref="C1010:C1011"/>
    <mergeCell ref="D1010:D1011"/>
    <mergeCell ref="F1010:F1011"/>
    <mergeCell ref="C988:C989"/>
    <mergeCell ref="D988:D989"/>
    <mergeCell ref="F988:F989"/>
    <mergeCell ref="C990:C991"/>
    <mergeCell ref="D990:D991"/>
    <mergeCell ref="F990:F991"/>
    <mergeCell ref="C992:C993"/>
    <mergeCell ref="D992:D993"/>
    <mergeCell ref="F992:F993"/>
    <mergeCell ref="C994:C995"/>
    <mergeCell ref="D994:D995"/>
    <mergeCell ref="F994:F995"/>
    <mergeCell ref="C996:C997"/>
    <mergeCell ref="D996:D997"/>
    <mergeCell ref="F996:F997"/>
    <mergeCell ref="C998:C999"/>
    <mergeCell ref="D998:D999"/>
    <mergeCell ref="F998:F999"/>
    <mergeCell ref="C976:C977"/>
    <mergeCell ref="D976:D977"/>
    <mergeCell ref="F976:F977"/>
    <mergeCell ref="C978:C979"/>
    <mergeCell ref="D978:D979"/>
    <mergeCell ref="F978:F979"/>
    <mergeCell ref="C980:C981"/>
    <mergeCell ref="D980:D981"/>
    <mergeCell ref="F980:F981"/>
    <mergeCell ref="C982:C983"/>
    <mergeCell ref="D982:D983"/>
    <mergeCell ref="F982:F983"/>
    <mergeCell ref="C984:C985"/>
    <mergeCell ref="D984:D985"/>
    <mergeCell ref="F984:F985"/>
    <mergeCell ref="C986:C987"/>
    <mergeCell ref="D986:D987"/>
    <mergeCell ref="F986:F987"/>
    <mergeCell ref="C964:C965"/>
    <mergeCell ref="D964:D965"/>
    <mergeCell ref="F964:F965"/>
    <mergeCell ref="C966:C967"/>
    <mergeCell ref="D966:D967"/>
    <mergeCell ref="F966:F967"/>
    <mergeCell ref="C968:C969"/>
    <mergeCell ref="D968:D969"/>
    <mergeCell ref="F968:F969"/>
    <mergeCell ref="C970:C971"/>
    <mergeCell ref="D970:D971"/>
    <mergeCell ref="F970:F971"/>
    <mergeCell ref="C972:C973"/>
    <mergeCell ref="D972:D973"/>
    <mergeCell ref="F972:F973"/>
    <mergeCell ref="C974:C975"/>
    <mergeCell ref="D974:D975"/>
    <mergeCell ref="F974:F975"/>
    <mergeCell ref="C952:C953"/>
    <mergeCell ref="D952:D953"/>
    <mergeCell ref="F952:F953"/>
    <mergeCell ref="C954:C955"/>
    <mergeCell ref="D954:D955"/>
    <mergeCell ref="F954:F955"/>
    <mergeCell ref="C956:C957"/>
    <mergeCell ref="D956:D957"/>
    <mergeCell ref="F956:F957"/>
    <mergeCell ref="C958:C959"/>
    <mergeCell ref="D958:D959"/>
    <mergeCell ref="F958:F959"/>
    <mergeCell ref="C960:C961"/>
    <mergeCell ref="D960:D961"/>
    <mergeCell ref="F960:F961"/>
    <mergeCell ref="C962:C963"/>
    <mergeCell ref="D962:D963"/>
    <mergeCell ref="F962:F963"/>
    <mergeCell ref="D828:D829"/>
    <mergeCell ref="C940:C941"/>
    <mergeCell ref="D940:D941"/>
    <mergeCell ref="F940:F941"/>
    <mergeCell ref="C942:C943"/>
    <mergeCell ref="D942:D943"/>
    <mergeCell ref="F942:F943"/>
    <mergeCell ref="C944:C945"/>
    <mergeCell ref="D944:D945"/>
    <mergeCell ref="F944:F945"/>
    <mergeCell ref="C946:C947"/>
    <mergeCell ref="D946:D947"/>
    <mergeCell ref="F946:F947"/>
    <mergeCell ref="C948:C949"/>
    <mergeCell ref="D948:D949"/>
    <mergeCell ref="F948:F949"/>
    <mergeCell ref="C950:C951"/>
    <mergeCell ref="D950:D951"/>
    <mergeCell ref="F950:F951"/>
    <mergeCell ref="D812:D813"/>
    <mergeCell ref="F812:F813"/>
    <mergeCell ref="C814:C815"/>
    <mergeCell ref="D814:D815"/>
    <mergeCell ref="F814:F815"/>
    <mergeCell ref="C816:C817"/>
    <mergeCell ref="D816:D817"/>
    <mergeCell ref="C932:C933"/>
    <mergeCell ref="D932:D933"/>
    <mergeCell ref="F932:F933"/>
    <mergeCell ref="C934:C935"/>
    <mergeCell ref="F934:F935"/>
    <mergeCell ref="K935:L935"/>
    <mergeCell ref="C936:E936"/>
    <mergeCell ref="C937:H937"/>
    <mergeCell ref="C938:C939"/>
    <mergeCell ref="D938:D939"/>
    <mergeCell ref="F938:F939"/>
    <mergeCell ref="F816:F817"/>
    <mergeCell ref="C818:C819"/>
    <mergeCell ref="D818:D819"/>
    <mergeCell ref="F818:F819"/>
    <mergeCell ref="C820:C821"/>
    <mergeCell ref="D820:D821"/>
    <mergeCell ref="F820:F821"/>
    <mergeCell ref="C822:C823"/>
    <mergeCell ref="D822:D823"/>
    <mergeCell ref="F822:F823"/>
    <mergeCell ref="C824:C825"/>
    <mergeCell ref="D824:D825"/>
    <mergeCell ref="F824:F825"/>
    <mergeCell ref="C828:C829"/>
    <mergeCell ref="F790:F791"/>
    <mergeCell ref="C792:C793"/>
    <mergeCell ref="D792:D793"/>
    <mergeCell ref="F792:F793"/>
    <mergeCell ref="C794:C795"/>
    <mergeCell ref="D794:D795"/>
    <mergeCell ref="F794:F795"/>
    <mergeCell ref="C796:C797"/>
    <mergeCell ref="D796:D797"/>
    <mergeCell ref="F796:F797"/>
    <mergeCell ref="C798:C799"/>
    <mergeCell ref="D798:D799"/>
    <mergeCell ref="F798:F799"/>
    <mergeCell ref="C852:C853"/>
    <mergeCell ref="D852:D853"/>
    <mergeCell ref="F852:F853"/>
    <mergeCell ref="C854:C855"/>
    <mergeCell ref="D854:D855"/>
    <mergeCell ref="F854:F855"/>
    <mergeCell ref="C800:C801"/>
    <mergeCell ref="D800:D801"/>
    <mergeCell ref="F800:F801"/>
    <mergeCell ref="C802:C803"/>
    <mergeCell ref="D802:D803"/>
    <mergeCell ref="F802:F803"/>
    <mergeCell ref="C804:C805"/>
    <mergeCell ref="D804:D805"/>
    <mergeCell ref="F804:F805"/>
    <mergeCell ref="C806:C807"/>
    <mergeCell ref="D806:D807"/>
    <mergeCell ref="F806:F807"/>
    <mergeCell ref="C812:C813"/>
    <mergeCell ref="C690:C691"/>
    <mergeCell ref="D690:D691"/>
    <mergeCell ref="F690:F691"/>
    <mergeCell ref="C692:C693"/>
    <mergeCell ref="D692:D693"/>
    <mergeCell ref="F692:F693"/>
    <mergeCell ref="C694:C695"/>
    <mergeCell ref="C776:C777"/>
    <mergeCell ref="D776:D777"/>
    <mergeCell ref="F776:F777"/>
    <mergeCell ref="C778:C779"/>
    <mergeCell ref="D778:D779"/>
    <mergeCell ref="F778:F779"/>
    <mergeCell ref="C780:C781"/>
    <mergeCell ref="D780:D781"/>
    <mergeCell ref="F780:F781"/>
    <mergeCell ref="C782:C783"/>
    <mergeCell ref="D782:D783"/>
    <mergeCell ref="F782:F783"/>
    <mergeCell ref="C700:C701"/>
    <mergeCell ref="D700:D701"/>
    <mergeCell ref="F700:F701"/>
    <mergeCell ref="C702:C703"/>
    <mergeCell ref="D702:D703"/>
    <mergeCell ref="F702:F703"/>
    <mergeCell ref="C706:C707"/>
    <mergeCell ref="D706:D707"/>
    <mergeCell ref="F706:F707"/>
    <mergeCell ref="C720:C721"/>
    <mergeCell ref="D720:D721"/>
    <mergeCell ref="F720:F721"/>
    <mergeCell ref="C722:C723"/>
    <mergeCell ref="C586:C587"/>
    <mergeCell ref="D586:D587"/>
    <mergeCell ref="F586:F587"/>
    <mergeCell ref="C588:C589"/>
    <mergeCell ref="D588:D589"/>
    <mergeCell ref="F588:F589"/>
    <mergeCell ref="C590:C591"/>
    <mergeCell ref="D590:D591"/>
    <mergeCell ref="F590:F591"/>
    <mergeCell ref="C598:C599"/>
    <mergeCell ref="D598:D599"/>
    <mergeCell ref="F598:F599"/>
    <mergeCell ref="C600:C601"/>
    <mergeCell ref="D600:D601"/>
    <mergeCell ref="F600:F601"/>
    <mergeCell ref="C592:C593"/>
    <mergeCell ref="D592:D593"/>
    <mergeCell ref="F592:F593"/>
    <mergeCell ref="C594:C595"/>
    <mergeCell ref="D594:D595"/>
    <mergeCell ref="F594:F595"/>
    <mergeCell ref="C596:C597"/>
    <mergeCell ref="D596:D597"/>
    <mergeCell ref="F596:F597"/>
    <mergeCell ref="C574:C575"/>
    <mergeCell ref="D574:D575"/>
    <mergeCell ref="F574:F575"/>
    <mergeCell ref="C576:C577"/>
    <mergeCell ref="D576:D577"/>
    <mergeCell ref="F576:F577"/>
    <mergeCell ref="C578:C579"/>
    <mergeCell ref="D578:D579"/>
    <mergeCell ref="F578:F579"/>
    <mergeCell ref="C580:C581"/>
    <mergeCell ref="D580:D581"/>
    <mergeCell ref="F580:F581"/>
    <mergeCell ref="C582:C583"/>
    <mergeCell ref="D582:D583"/>
    <mergeCell ref="F582:F583"/>
    <mergeCell ref="C584:C585"/>
    <mergeCell ref="D584:D585"/>
    <mergeCell ref="F584:F585"/>
    <mergeCell ref="C562:C563"/>
    <mergeCell ref="D562:D563"/>
    <mergeCell ref="F562:F563"/>
    <mergeCell ref="C564:C565"/>
    <mergeCell ref="D564:D565"/>
    <mergeCell ref="F564:F565"/>
    <mergeCell ref="C566:C567"/>
    <mergeCell ref="D566:D567"/>
    <mergeCell ref="F566:F567"/>
    <mergeCell ref="C568:C569"/>
    <mergeCell ref="D568:D569"/>
    <mergeCell ref="F568:F569"/>
    <mergeCell ref="C570:C571"/>
    <mergeCell ref="D570:D571"/>
    <mergeCell ref="F570:F571"/>
    <mergeCell ref="C572:C573"/>
    <mergeCell ref="D572:D573"/>
    <mergeCell ref="F572:F573"/>
    <mergeCell ref="C550:C551"/>
    <mergeCell ref="D550:D551"/>
    <mergeCell ref="F550:F551"/>
    <mergeCell ref="C552:C553"/>
    <mergeCell ref="D552:D553"/>
    <mergeCell ref="F552:F553"/>
    <mergeCell ref="C554:C555"/>
    <mergeCell ref="D554:D555"/>
    <mergeCell ref="F554:F555"/>
    <mergeCell ref="C556:C557"/>
    <mergeCell ref="D556:D557"/>
    <mergeCell ref="F556:F557"/>
    <mergeCell ref="C558:C559"/>
    <mergeCell ref="D558:D559"/>
    <mergeCell ref="F558:F559"/>
    <mergeCell ref="C560:C561"/>
    <mergeCell ref="D560:D561"/>
    <mergeCell ref="F560:F561"/>
    <mergeCell ref="C532:C533"/>
    <mergeCell ref="D532:D533"/>
    <mergeCell ref="F532:F533"/>
    <mergeCell ref="C534:C535"/>
    <mergeCell ref="D534:D535"/>
    <mergeCell ref="F534:F535"/>
    <mergeCell ref="C536:C537"/>
    <mergeCell ref="D536:D537"/>
    <mergeCell ref="F536:F537"/>
    <mergeCell ref="C538:C539"/>
    <mergeCell ref="D538:D539"/>
    <mergeCell ref="F538:F539"/>
    <mergeCell ref="C546:C547"/>
    <mergeCell ref="D546:D547"/>
    <mergeCell ref="F546:F547"/>
    <mergeCell ref="C548:C549"/>
    <mergeCell ref="D548:D549"/>
    <mergeCell ref="F548:F549"/>
    <mergeCell ref="C540:C541"/>
    <mergeCell ref="D540:D541"/>
    <mergeCell ref="F540:F541"/>
    <mergeCell ref="C542:C543"/>
    <mergeCell ref="D542:D543"/>
    <mergeCell ref="F542:F543"/>
    <mergeCell ref="C544:C545"/>
    <mergeCell ref="D544:D545"/>
    <mergeCell ref="F544:F545"/>
    <mergeCell ref="C520:C521"/>
    <mergeCell ref="D520:D521"/>
    <mergeCell ref="F520:F521"/>
    <mergeCell ref="C522:C523"/>
    <mergeCell ref="D522:D523"/>
    <mergeCell ref="F522:F523"/>
    <mergeCell ref="C524:C525"/>
    <mergeCell ref="D524:D525"/>
    <mergeCell ref="F524:F525"/>
    <mergeCell ref="C526:C527"/>
    <mergeCell ref="D526:D527"/>
    <mergeCell ref="F526:F527"/>
    <mergeCell ref="C528:C529"/>
    <mergeCell ref="D528:D529"/>
    <mergeCell ref="F528:F529"/>
    <mergeCell ref="C530:C531"/>
    <mergeCell ref="D530:D531"/>
    <mergeCell ref="F530:F531"/>
    <mergeCell ref="C404:C405"/>
    <mergeCell ref="D404:D405"/>
    <mergeCell ref="F404:F405"/>
    <mergeCell ref="C402:C403"/>
    <mergeCell ref="D402:D403"/>
    <mergeCell ref="F402:F403"/>
    <mergeCell ref="C398:C399"/>
    <mergeCell ref="D398:D399"/>
    <mergeCell ref="F398:F399"/>
    <mergeCell ref="C400:C401"/>
    <mergeCell ref="D400:D401"/>
    <mergeCell ref="F400:F401"/>
    <mergeCell ref="C510:C511"/>
    <mergeCell ref="D510:D511"/>
    <mergeCell ref="F510:F511"/>
    <mergeCell ref="C512:C513"/>
    <mergeCell ref="D512:D513"/>
    <mergeCell ref="F512:F513"/>
    <mergeCell ref="C406:C407"/>
    <mergeCell ref="D406:D407"/>
    <mergeCell ref="F406:F407"/>
    <mergeCell ref="C408:C409"/>
    <mergeCell ref="D408:D409"/>
    <mergeCell ref="F408:F409"/>
    <mergeCell ref="C410:C411"/>
    <mergeCell ref="D410:D411"/>
    <mergeCell ref="F410:F411"/>
    <mergeCell ref="C436:C437"/>
    <mergeCell ref="D436:D437"/>
    <mergeCell ref="F436:F437"/>
    <mergeCell ref="C424:C425"/>
    <mergeCell ref="D424:D425"/>
    <mergeCell ref="C378:C379"/>
    <mergeCell ref="D378:D379"/>
    <mergeCell ref="F378:F379"/>
    <mergeCell ref="C380:C381"/>
    <mergeCell ref="D380:D381"/>
    <mergeCell ref="F380:F381"/>
    <mergeCell ref="C382:C383"/>
    <mergeCell ref="D382:D383"/>
    <mergeCell ref="F382:F383"/>
    <mergeCell ref="C390:C391"/>
    <mergeCell ref="D390:D391"/>
    <mergeCell ref="F390:F391"/>
    <mergeCell ref="C394:C395"/>
    <mergeCell ref="F394:F395"/>
    <mergeCell ref="K395:L395"/>
    <mergeCell ref="C396:E396"/>
    <mergeCell ref="C397:H397"/>
    <mergeCell ref="C384:C385"/>
    <mergeCell ref="D384:D385"/>
    <mergeCell ref="F384:F385"/>
    <mergeCell ref="C386:C387"/>
    <mergeCell ref="D386:D387"/>
    <mergeCell ref="F386:F387"/>
    <mergeCell ref="C388:C389"/>
    <mergeCell ref="D388:D389"/>
    <mergeCell ref="F388:F389"/>
    <mergeCell ref="C392:C393"/>
    <mergeCell ref="D392:D393"/>
    <mergeCell ref="F392:F393"/>
    <mergeCell ref="C366:C367"/>
    <mergeCell ref="D366:D367"/>
    <mergeCell ref="F366:F367"/>
    <mergeCell ref="C368:C369"/>
    <mergeCell ref="D368:D369"/>
    <mergeCell ref="F368:F369"/>
    <mergeCell ref="C370:C371"/>
    <mergeCell ref="D370:D371"/>
    <mergeCell ref="F370:F371"/>
    <mergeCell ref="C372:C373"/>
    <mergeCell ref="D372:D373"/>
    <mergeCell ref="F372:F373"/>
    <mergeCell ref="C374:C375"/>
    <mergeCell ref="D374:D375"/>
    <mergeCell ref="F374:F375"/>
    <mergeCell ref="C376:C377"/>
    <mergeCell ref="D376:D377"/>
    <mergeCell ref="F376:F377"/>
    <mergeCell ref="C354:C355"/>
    <mergeCell ref="D354:D355"/>
    <mergeCell ref="F354:F355"/>
    <mergeCell ref="C356:C357"/>
    <mergeCell ref="D356:D357"/>
    <mergeCell ref="F356:F357"/>
    <mergeCell ref="C358:C359"/>
    <mergeCell ref="D358:D359"/>
    <mergeCell ref="F358:F359"/>
    <mergeCell ref="C360:C361"/>
    <mergeCell ref="D360:D361"/>
    <mergeCell ref="F360:F361"/>
    <mergeCell ref="C362:C363"/>
    <mergeCell ref="D362:D363"/>
    <mergeCell ref="F362:F363"/>
    <mergeCell ref="C364:C365"/>
    <mergeCell ref="D364:D365"/>
    <mergeCell ref="F364:F365"/>
    <mergeCell ref="C342:C343"/>
    <mergeCell ref="D342:D343"/>
    <mergeCell ref="F342:F343"/>
    <mergeCell ref="C344:C345"/>
    <mergeCell ref="D344:D345"/>
    <mergeCell ref="F344:F345"/>
    <mergeCell ref="C346:C347"/>
    <mergeCell ref="D346:D347"/>
    <mergeCell ref="F346:F347"/>
    <mergeCell ref="C348:C349"/>
    <mergeCell ref="D348:D349"/>
    <mergeCell ref="F348:F349"/>
    <mergeCell ref="C350:C351"/>
    <mergeCell ref="D350:D351"/>
    <mergeCell ref="F350:F351"/>
    <mergeCell ref="C352:C353"/>
    <mergeCell ref="D352:D353"/>
    <mergeCell ref="F352:F353"/>
    <mergeCell ref="C330:C331"/>
    <mergeCell ref="D330:D331"/>
    <mergeCell ref="F330:F331"/>
    <mergeCell ref="C332:C333"/>
    <mergeCell ref="D332:D333"/>
    <mergeCell ref="F332:F333"/>
    <mergeCell ref="C334:C335"/>
    <mergeCell ref="D334:D335"/>
    <mergeCell ref="F334:F335"/>
    <mergeCell ref="C336:C337"/>
    <mergeCell ref="D336:D337"/>
    <mergeCell ref="F336:F337"/>
    <mergeCell ref="C338:C339"/>
    <mergeCell ref="D338:D339"/>
    <mergeCell ref="F338:F339"/>
    <mergeCell ref="C340:C341"/>
    <mergeCell ref="D340:D341"/>
    <mergeCell ref="F340:F341"/>
    <mergeCell ref="C318:C319"/>
    <mergeCell ref="D318:D319"/>
    <mergeCell ref="F318:F319"/>
    <mergeCell ref="C320:C321"/>
    <mergeCell ref="D320:D321"/>
    <mergeCell ref="F320:F321"/>
    <mergeCell ref="C322:C323"/>
    <mergeCell ref="D322:D323"/>
    <mergeCell ref="F322:F323"/>
    <mergeCell ref="C324:C325"/>
    <mergeCell ref="D324:D325"/>
    <mergeCell ref="F324:F325"/>
    <mergeCell ref="C326:C327"/>
    <mergeCell ref="D326:D327"/>
    <mergeCell ref="F326:F327"/>
    <mergeCell ref="C328:C329"/>
    <mergeCell ref="D328:D329"/>
    <mergeCell ref="F328:F329"/>
    <mergeCell ref="C314:C315"/>
    <mergeCell ref="D314:D315"/>
    <mergeCell ref="F314:F315"/>
    <mergeCell ref="C316:C317"/>
    <mergeCell ref="D316:D317"/>
    <mergeCell ref="F316:F317"/>
    <mergeCell ref="C306:C307"/>
    <mergeCell ref="D306:D307"/>
    <mergeCell ref="F306:F307"/>
    <mergeCell ref="C308:C309"/>
    <mergeCell ref="D308:D309"/>
    <mergeCell ref="F308:F309"/>
    <mergeCell ref="C312:C313"/>
    <mergeCell ref="D312:D313"/>
    <mergeCell ref="F312:F313"/>
    <mergeCell ref="C310:C311"/>
    <mergeCell ref="D310:D311"/>
    <mergeCell ref="F310:F311"/>
    <mergeCell ref="C294:C295"/>
    <mergeCell ref="D294:D295"/>
    <mergeCell ref="F294:F295"/>
    <mergeCell ref="C296:C297"/>
    <mergeCell ref="D296:D297"/>
    <mergeCell ref="F296:F297"/>
    <mergeCell ref="C298:C299"/>
    <mergeCell ref="D298:D299"/>
    <mergeCell ref="F298:F299"/>
    <mergeCell ref="C300:C301"/>
    <mergeCell ref="D300:D301"/>
    <mergeCell ref="F300:F301"/>
    <mergeCell ref="C302:C303"/>
    <mergeCell ref="D302:D303"/>
    <mergeCell ref="F302:F303"/>
    <mergeCell ref="C304:C305"/>
    <mergeCell ref="D304:D305"/>
    <mergeCell ref="F304:F305"/>
    <mergeCell ref="C282:C283"/>
    <mergeCell ref="D282:D283"/>
    <mergeCell ref="F282:F283"/>
    <mergeCell ref="C284:C285"/>
    <mergeCell ref="D284:D285"/>
    <mergeCell ref="F284:F285"/>
    <mergeCell ref="C286:C287"/>
    <mergeCell ref="D286:D287"/>
    <mergeCell ref="F286:F287"/>
    <mergeCell ref="C288:C289"/>
    <mergeCell ref="D288:D289"/>
    <mergeCell ref="F288:F289"/>
    <mergeCell ref="C290:C291"/>
    <mergeCell ref="D290:D291"/>
    <mergeCell ref="F290:F291"/>
    <mergeCell ref="C292:C293"/>
    <mergeCell ref="D292:D293"/>
    <mergeCell ref="F292:F293"/>
    <mergeCell ref="C144:C145"/>
    <mergeCell ref="D144:D145"/>
    <mergeCell ref="F144:F145"/>
    <mergeCell ref="C146:C147"/>
    <mergeCell ref="D146:D147"/>
    <mergeCell ref="F146:F147"/>
    <mergeCell ref="C140:C141"/>
    <mergeCell ref="D140:D141"/>
    <mergeCell ref="F140:F141"/>
    <mergeCell ref="C142:C143"/>
    <mergeCell ref="D142:D143"/>
    <mergeCell ref="F142:F143"/>
    <mergeCell ref="F264:F265"/>
    <mergeCell ref="C272:C273"/>
    <mergeCell ref="D272:D273"/>
    <mergeCell ref="F272:F273"/>
    <mergeCell ref="C274:C275"/>
    <mergeCell ref="D274:D275"/>
    <mergeCell ref="F274:F275"/>
    <mergeCell ref="C266:C267"/>
    <mergeCell ref="D266:D267"/>
    <mergeCell ref="F266:F267"/>
    <mergeCell ref="C268:C269"/>
    <mergeCell ref="D268:D269"/>
    <mergeCell ref="F268:F269"/>
    <mergeCell ref="C270:C271"/>
    <mergeCell ref="D270:D271"/>
    <mergeCell ref="F270:F271"/>
    <mergeCell ref="C148:C149"/>
    <mergeCell ref="D148:D149"/>
    <mergeCell ref="F148:F149"/>
    <mergeCell ref="C150:C151"/>
    <mergeCell ref="C124:C125"/>
    <mergeCell ref="D124:D125"/>
    <mergeCell ref="F124:F125"/>
    <mergeCell ref="C126:C129"/>
    <mergeCell ref="D126:D129"/>
    <mergeCell ref="F126:F129"/>
    <mergeCell ref="C120:C121"/>
    <mergeCell ref="D120:D121"/>
    <mergeCell ref="F120:F121"/>
    <mergeCell ref="C122:C123"/>
    <mergeCell ref="D122:D123"/>
    <mergeCell ref="F122:F123"/>
    <mergeCell ref="C136:C137"/>
    <mergeCell ref="D136:D137"/>
    <mergeCell ref="F136:F137"/>
    <mergeCell ref="C138:C139"/>
    <mergeCell ref="D138:D139"/>
    <mergeCell ref="F138:F139"/>
    <mergeCell ref="C130:C131"/>
    <mergeCell ref="D130:D131"/>
    <mergeCell ref="F130:F131"/>
    <mergeCell ref="C132:C135"/>
    <mergeCell ref="D132:D135"/>
    <mergeCell ref="F132:F135"/>
    <mergeCell ref="C110:C111"/>
    <mergeCell ref="D110:D111"/>
    <mergeCell ref="F110:F111"/>
    <mergeCell ref="C104:C107"/>
    <mergeCell ref="D104:D107"/>
    <mergeCell ref="F104:F107"/>
    <mergeCell ref="C116:C117"/>
    <mergeCell ref="D116:D117"/>
    <mergeCell ref="F116:F117"/>
    <mergeCell ref="C118:C119"/>
    <mergeCell ref="D118:D119"/>
    <mergeCell ref="F118:F119"/>
    <mergeCell ref="C112:C113"/>
    <mergeCell ref="D112:D113"/>
    <mergeCell ref="F112:F113"/>
    <mergeCell ref="C114:C115"/>
    <mergeCell ref="D114:D115"/>
    <mergeCell ref="F114:F115"/>
    <mergeCell ref="D52:D53"/>
    <mergeCell ref="F52:F53"/>
    <mergeCell ref="F30:F31"/>
    <mergeCell ref="C34:C35"/>
    <mergeCell ref="D34:D35"/>
    <mergeCell ref="F34:F35"/>
    <mergeCell ref="F100:F101"/>
    <mergeCell ref="C102:C103"/>
    <mergeCell ref="D102:D103"/>
    <mergeCell ref="F102:F103"/>
    <mergeCell ref="C96:C97"/>
    <mergeCell ref="D96:D97"/>
    <mergeCell ref="F96:F97"/>
    <mergeCell ref="C98:C99"/>
    <mergeCell ref="D98:D99"/>
    <mergeCell ref="F98:F99"/>
    <mergeCell ref="C108:C109"/>
    <mergeCell ref="D108:D109"/>
    <mergeCell ref="F108:F109"/>
    <mergeCell ref="C72:C73"/>
    <mergeCell ref="D72:D73"/>
    <mergeCell ref="F72:F73"/>
    <mergeCell ref="C74:C75"/>
    <mergeCell ref="D74:D75"/>
    <mergeCell ref="F74:F75"/>
    <mergeCell ref="C84:C85"/>
    <mergeCell ref="D84:D85"/>
    <mergeCell ref="F84:F85"/>
    <mergeCell ref="D78:D83"/>
    <mergeCell ref="F78:F83"/>
    <mergeCell ref="C68:C69"/>
    <mergeCell ref="D68:D69"/>
    <mergeCell ref="F68:F69"/>
    <mergeCell ref="C70:C71"/>
    <mergeCell ref="D70:D71"/>
    <mergeCell ref="F70:F71"/>
    <mergeCell ref="D40:D41"/>
    <mergeCell ref="F40:F41"/>
    <mergeCell ref="C20:C21"/>
    <mergeCell ref="D20:D21"/>
    <mergeCell ref="F20:F21"/>
    <mergeCell ref="C22:C25"/>
    <mergeCell ref="D22:D25"/>
    <mergeCell ref="F22:F25"/>
    <mergeCell ref="C26:C27"/>
    <mergeCell ref="D26:D27"/>
    <mergeCell ref="F26:F27"/>
    <mergeCell ref="C28:C29"/>
    <mergeCell ref="D28:D29"/>
    <mergeCell ref="F28:F29"/>
    <mergeCell ref="C30:C31"/>
    <mergeCell ref="D30:D31"/>
    <mergeCell ref="C32:C33"/>
    <mergeCell ref="D32:D33"/>
    <mergeCell ref="F32:F33"/>
    <mergeCell ref="C64:C65"/>
    <mergeCell ref="D64:D65"/>
    <mergeCell ref="F64:F65"/>
    <mergeCell ref="C66:C67"/>
    <mergeCell ref="D66:D67"/>
    <mergeCell ref="F66:F67"/>
    <mergeCell ref="C52:C53"/>
    <mergeCell ref="C1:H2"/>
    <mergeCell ref="M8:N8"/>
    <mergeCell ref="M9:N9"/>
    <mergeCell ref="M10:N10"/>
    <mergeCell ref="M11:N11"/>
    <mergeCell ref="C6:C7"/>
    <mergeCell ref="D6:D7"/>
    <mergeCell ref="F6:F7"/>
    <mergeCell ref="C8:C9"/>
    <mergeCell ref="D8:D9"/>
    <mergeCell ref="F8:F9"/>
    <mergeCell ref="C10:C11"/>
    <mergeCell ref="D10:D11"/>
    <mergeCell ref="F10:F11"/>
    <mergeCell ref="M14:N14"/>
    <mergeCell ref="M15:N15"/>
    <mergeCell ref="M16:N16"/>
    <mergeCell ref="D14:D15"/>
    <mergeCell ref="F14:F15"/>
    <mergeCell ref="C16:C19"/>
    <mergeCell ref="D16:D19"/>
    <mergeCell ref="F16:F19"/>
    <mergeCell ref="M17:N17"/>
    <mergeCell ref="M18:N18"/>
    <mergeCell ref="M12:N12"/>
    <mergeCell ref="M7:N7"/>
    <mergeCell ref="C4:C5"/>
    <mergeCell ref="D4:D5"/>
    <mergeCell ref="F4:F5"/>
    <mergeCell ref="C12:C13"/>
    <mergeCell ref="D12:D13"/>
    <mergeCell ref="F12:F13"/>
    <mergeCell ref="M13:N13"/>
    <mergeCell ref="C14:C15"/>
    <mergeCell ref="C46:C49"/>
    <mergeCell ref="D46:D49"/>
    <mergeCell ref="F46:F49"/>
    <mergeCell ref="C50:C51"/>
    <mergeCell ref="D50:D51"/>
    <mergeCell ref="F50:F51"/>
    <mergeCell ref="C36:C37"/>
    <mergeCell ref="D36:D37"/>
    <mergeCell ref="F36:F37"/>
    <mergeCell ref="C38:C39"/>
    <mergeCell ref="D38:D39"/>
    <mergeCell ref="F38:F39"/>
    <mergeCell ref="C42:C45"/>
    <mergeCell ref="D42:D45"/>
    <mergeCell ref="F42:F45"/>
    <mergeCell ref="M19:N19"/>
    <mergeCell ref="M20:N20"/>
    <mergeCell ref="M21:N21"/>
    <mergeCell ref="M22:N22"/>
    <mergeCell ref="C40:C41"/>
    <mergeCell ref="D150:D151"/>
    <mergeCell ref="F150:F151"/>
    <mergeCell ref="C152:C153"/>
    <mergeCell ref="D152:D153"/>
    <mergeCell ref="F152:F153"/>
    <mergeCell ref="C58:C63"/>
    <mergeCell ref="D58:D63"/>
    <mergeCell ref="F58:F63"/>
    <mergeCell ref="C54:C55"/>
    <mergeCell ref="D54:D55"/>
    <mergeCell ref="F54:F55"/>
    <mergeCell ref="C56:C57"/>
    <mergeCell ref="D56:D57"/>
    <mergeCell ref="F56:F57"/>
    <mergeCell ref="C86:C87"/>
    <mergeCell ref="D86:D87"/>
    <mergeCell ref="F86:F87"/>
    <mergeCell ref="C88:C89"/>
    <mergeCell ref="D88:D89"/>
    <mergeCell ref="F88:F89"/>
    <mergeCell ref="C92:C95"/>
    <mergeCell ref="D92:D95"/>
    <mergeCell ref="F92:F95"/>
    <mergeCell ref="C90:C91"/>
    <mergeCell ref="D90:D91"/>
    <mergeCell ref="F90:F91"/>
    <mergeCell ref="C100:C101"/>
    <mergeCell ref="D100:D101"/>
    <mergeCell ref="C76:C77"/>
    <mergeCell ref="D76:D77"/>
    <mergeCell ref="F76:F77"/>
    <mergeCell ref="C78:C83"/>
    <mergeCell ref="C164:C167"/>
    <mergeCell ref="D164:D167"/>
    <mergeCell ref="F164:F167"/>
    <mergeCell ref="C168:C169"/>
    <mergeCell ref="D168:D169"/>
    <mergeCell ref="F168:F169"/>
    <mergeCell ref="C170:C171"/>
    <mergeCell ref="D170:D171"/>
    <mergeCell ref="F170:F171"/>
    <mergeCell ref="C160:C161"/>
    <mergeCell ref="D160:D161"/>
    <mergeCell ref="F160:F161"/>
    <mergeCell ref="C162:C163"/>
    <mergeCell ref="D162:D163"/>
    <mergeCell ref="F162:F163"/>
    <mergeCell ref="C154:C155"/>
    <mergeCell ref="D154:D155"/>
    <mergeCell ref="F154:F155"/>
    <mergeCell ref="C156:C157"/>
    <mergeCell ref="D156:D157"/>
    <mergeCell ref="F156:F157"/>
    <mergeCell ref="C158:C159"/>
    <mergeCell ref="D158:D159"/>
    <mergeCell ref="F158:F159"/>
    <mergeCell ref="C184:C185"/>
    <mergeCell ref="D184:D185"/>
    <mergeCell ref="F184:F185"/>
    <mergeCell ref="C182:C183"/>
    <mergeCell ref="D182:D183"/>
    <mergeCell ref="F182:F183"/>
    <mergeCell ref="C186:C187"/>
    <mergeCell ref="D186:D187"/>
    <mergeCell ref="F186:F187"/>
    <mergeCell ref="C178:C179"/>
    <mergeCell ref="D178:D179"/>
    <mergeCell ref="F178:F179"/>
    <mergeCell ref="C180:C181"/>
    <mergeCell ref="D180:D181"/>
    <mergeCell ref="F180:F181"/>
    <mergeCell ref="C172:C173"/>
    <mergeCell ref="D172:D173"/>
    <mergeCell ref="F172:F173"/>
    <mergeCell ref="C174:C175"/>
    <mergeCell ref="D174:D175"/>
    <mergeCell ref="F174:F175"/>
    <mergeCell ref="C176:C177"/>
    <mergeCell ref="D176:D177"/>
    <mergeCell ref="F176:F177"/>
    <mergeCell ref="C200:C201"/>
    <mergeCell ref="D200:D201"/>
    <mergeCell ref="F200:F201"/>
    <mergeCell ref="C202:C203"/>
    <mergeCell ref="D202:D203"/>
    <mergeCell ref="F202:F203"/>
    <mergeCell ref="C188:C189"/>
    <mergeCell ref="D188:D189"/>
    <mergeCell ref="F188:F189"/>
    <mergeCell ref="C190:C191"/>
    <mergeCell ref="D190:D191"/>
    <mergeCell ref="F190:F191"/>
    <mergeCell ref="C198:C199"/>
    <mergeCell ref="D198:D199"/>
    <mergeCell ref="F198:F199"/>
    <mergeCell ref="C192:C193"/>
    <mergeCell ref="D192:D193"/>
    <mergeCell ref="F192:F193"/>
    <mergeCell ref="C194:C195"/>
    <mergeCell ref="D194:D195"/>
    <mergeCell ref="F194:F195"/>
    <mergeCell ref="C196:C197"/>
    <mergeCell ref="D196:D197"/>
    <mergeCell ref="F196:F197"/>
    <mergeCell ref="C210:C211"/>
    <mergeCell ref="D210:D211"/>
    <mergeCell ref="F210:F211"/>
    <mergeCell ref="C212:C213"/>
    <mergeCell ref="D212:D213"/>
    <mergeCell ref="F212:F213"/>
    <mergeCell ref="C214:C215"/>
    <mergeCell ref="D214:D215"/>
    <mergeCell ref="F214:F215"/>
    <mergeCell ref="C204:C205"/>
    <mergeCell ref="D204:D205"/>
    <mergeCell ref="F204:F205"/>
    <mergeCell ref="C208:C209"/>
    <mergeCell ref="D208:D209"/>
    <mergeCell ref="F208:F209"/>
    <mergeCell ref="C206:C207"/>
    <mergeCell ref="D206:D207"/>
    <mergeCell ref="F206:F207"/>
    <mergeCell ref="C222:C225"/>
    <mergeCell ref="D222:D225"/>
    <mergeCell ref="F222:F225"/>
    <mergeCell ref="C226:C229"/>
    <mergeCell ref="D226:D229"/>
    <mergeCell ref="F226:F229"/>
    <mergeCell ref="C230:C231"/>
    <mergeCell ref="D230:D231"/>
    <mergeCell ref="F230:F231"/>
    <mergeCell ref="C216:C217"/>
    <mergeCell ref="D216:D217"/>
    <mergeCell ref="F216:F217"/>
    <mergeCell ref="C218:C219"/>
    <mergeCell ref="D218:D219"/>
    <mergeCell ref="F218:F219"/>
    <mergeCell ref="C220:C221"/>
    <mergeCell ref="D220:D221"/>
    <mergeCell ref="F220:F221"/>
    <mergeCell ref="C240:C241"/>
    <mergeCell ref="D240:D241"/>
    <mergeCell ref="F240:F241"/>
    <mergeCell ref="C242:C243"/>
    <mergeCell ref="D242:D243"/>
    <mergeCell ref="F242:F243"/>
    <mergeCell ref="C244:C245"/>
    <mergeCell ref="D244:D245"/>
    <mergeCell ref="F244:F245"/>
    <mergeCell ref="C232:C235"/>
    <mergeCell ref="D232:D235"/>
    <mergeCell ref="F232:F235"/>
    <mergeCell ref="C236:C237"/>
    <mergeCell ref="D236:D237"/>
    <mergeCell ref="F236:F237"/>
    <mergeCell ref="C238:C239"/>
    <mergeCell ref="D238:D239"/>
    <mergeCell ref="F238:F239"/>
    <mergeCell ref="C254:C255"/>
    <mergeCell ref="D254:D255"/>
    <mergeCell ref="F254:F255"/>
    <mergeCell ref="C256:C259"/>
    <mergeCell ref="D256:D259"/>
    <mergeCell ref="F256:F259"/>
    <mergeCell ref="C246:C249"/>
    <mergeCell ref="D246:D249"/>
    <mergeCell ref="F246:F249"/>
    <mergeCell ref="C250:C251"/>
    <mergeCell ref="D250:D251"/>
    <mergeCell ref="F250:F251"/>
    <mergeCell ref="C252:C253"/>
    <mergeCell ref="D252:D253"/>
    <mergeCell ref="F252:F253"/>
    <mergeCell ref="C260:C261"/>
    <mergeCell ref="D260:D261"/>
    <mergeCell ref="F260:F261"/>
    <mergeCell ref="C262:C263"/>
    <mergeCell ref="D262:D263"/>
    <mergeCell ref="F262:F263"/>
    <mergeCell ref="C264:C265"/>
    <mergeCell ref="D264:D265"/>
    <mergeCell ref="C418:C419"/>
    <mergeCell ref="D418:D419"/>
    <mergeCell ref="F418:F419"/>
    <mergeCell ref="C420:C421"/>
    <mergeCell ref="D420:D421"/>
    <mergeCell ref="F420:F421"/>
    <mergeCell ref="C422:C423"/>
    <mergeCell ref="D422:D423"/>
    <mergeCell ref="F422:F423"/>
    <mergeCell ref="C412:C413"/>
    <mergeCell ref="D412:D413"/>
    <mergeCell ref="F412:F413"/>
    <mergeCell ref="C414:C415"/>
    <mergeCell ref="D414:D415"/>
    <mergeCell ref="F414:F415"/>
    <mergeCell ref="C416:C417"/>
    <mergeCell ref="D416:D417"/>
    <mergeCell ref="F416:F417"/>
    <mergeCell ref="C276:C277"/>
    <mergeCell ref="D276:D277"/>
    <mergeCell ref="F276:F277"/>
    <mergeCell ref="C278:C279"/>
    <mergeCell ref="D278:D279"/>
    <mergeCell ref="F278:F279"/>
    <mergeCell ref="C280:C281"/>
    <mergeCell ref="D280:D281"/>
    <mergeCell ref="F280:F281"/>
    <mergeCell ref="F424:F425"/>
    <mergeCell ref="C426:C427"/>
    <mergeCell ref="D426:D427"/>
    <mergeCell ref="F426:F427"/>
    <mergeCell ref="C428:C429"/>
    <mergeCell ref="D428:D429"/>
    <mergeCell ref="F428:F429"/>
    <mergeCell ref="C430:C431"/>
    <mergeCell ref="D430:D431"/>
    <mergeCell ref="F430:F431"/>
    <mergeCell ref="C432:C433"/>
    <mergeCell ref="D432:D433"/>
    <mergeCell ref="F432:F433"/>
    <mergeCell ref="C434:C435"/>
    <mergeCell ref="D434:D435"/>
    <mergeCell ref="F434:F435"/>
    <mergeCell ref="C438:C439"/>
    <mergeCell ref="D438:D439"/>
    <mergeCell ref="F438:F439"/>
    <mergeCell ref="C440:C441"/>
    <mergeCell ref="D440:D441"/>
    <mergeCell ref="F440:F441"/>
    <mergeCell ref="C450:C451"/>
    <mergeCell ref="D450:D451"/>
    <mergeCell ref="F450:F451"/>
    <mergeCell ref="C448:C449"/>
    <mergeCell ref="D448:D449"/>
    <mergeCell ref="F448:F449"/>
    <mergeCell ref="C442:C443"/>
    <mergeCell ref="D442:D443"/>
    <mergeCell ref="F442:F443"/>
    <mergeCell ref="C444:C445"/>
    <mergeCell ref="D444:D445"/>
    <mergeCell ref="F444:F445"/>
    <mergeCell ref="C446:C447"/>
    <mergeCell ref="D446:D447"/>
    <mergeCell ref="F446:F447"/>
    <mergeCell ref="C458:C459"/>
    <mergeCell ref="D458:D459"/>
    <mergeCell ref="F458:F459"/>
    <mergeCell ref="C460:C461"/>
    <mergeCell ref="D460:D461"/>
    <mergeCell ref="F460:F461"/>
    <mergeCell ref="C462:C463"/>
    <mergeCell ref="D462:D463"/>
    <mergeCell ref="F462:F463"/>
    <mergeCell ref="C452:C453"/>
    <mergeCell ref="D452:D453"/>
    <mergeCell ref="F452:F453"/>
    <mergeCell ref="C454:C455"/>
    <mergeCell ref="D454:D455"/>
    <mergeCell ref="F454:F455"/>
    <mergeCell ref="C456:C457"/>
    <mergeCell ref="D456:D457"/>
    <mergeCell ref="F456:F457"/>
    <mergeCell ref="C470:C471"/>
    <mergeCell ref="D470:D471"/>
    <mergeCell ref="F470:F471"/>
    <mergeCell ref="C472:C473"/>
    <mergeCell ref="D472:D473"/>
    <mergeCell ref="F472:F473"/>
    <mergeCell ref="C474:C475"/>
    <mergeCell ref="D474:D475"/>
    <mergeCell ref="F474:F475"/>
    <mergeCell ref="C464:C465"/>
    <mergeCell ref="D464:D465"/>
    <mergeCell ref="F464:F465"/>
    <mergeCell ref="C466:C467"/>
    <mergeCell ref="D466:D467"/>
    <mergeCell ref="F466:F467"/>
    <mergeCell ref="C468:C469"/>
    <mergeCell ref="D468:D469"/>
    <mergeCell ref="F468:F469"/>
    <mergeCell ref="C482:C483"/>
    <mergeCell ref="D482:D483"/>
    <mergeCell ref="F482:F483"/>
    <mergeCell ref="C486:C487"/>
    <mergeCell ref="D486:D487"/>
    <mergeCell ref="F486:F487"/>
    <mergeCell ref="C484:C485"/>
    <mergeCell ref="D484:D485"/>
    <mergeCell ref="F484:F485"/>
    <mergeCell ref="C476:C477"/>
    <mergeCell ref="D476:D477"/>
    <mergeCell ref="F476:F477"/>
    <mergeCell ref="C478:C479"/>
    <mergeCell ref="D478:D479"/>
    <mergeCell ref="F478:F479"/>
    <mergeCell ref="C480:C481"/>
    <mergeCell ref="D480:D481"/>
    <mergeCell ref="F480:F481"/>
    <mergeCell ref="D518:D519"/>
    <mergeCell ref="C494:C495"/>
    <mergeCell ref="D494:D495"/>
    <mergeCell ref="F494:F495"/>
    <mergeCell ref="C496:C497"/>
    <mergeCell ref="D496:D497"/>
    <mergeCell ref="F496:F497"/>
    <mergeCell ref="C498:C499"/>
    <mergeCell ref="D498:D499"/>
    <mergeCell ref="F498:F499"/>
    <mergeCell ref="C488:C489"/>
    <mergeCell ref="D488:D489"/>
    <mergeCell ref="F488:F489"/>
    <mergeCell ref="C490:C491"/>
    <mergeCell ref="D490:D491"/>
    <mergeCell ref="F490:F491"/>
    <mergeCell ref="C492:C493"/>
    <mergeCell ref="D492:D493"/>
    <mergeCell ref="F492:F493"/>
    <mergeCell ref="F518:F519"/>
    <mergeCell ref="C506:C507"/>
    <mergeCell ref="D506:D507"/>
    <mergeCell ref="F506:F507"/>
    <mergeCell ref="C508:C509"/>
    <mergeCell ref="D508:D509"/>
    <mergeCell ref="F508:F509"/>
    <mergeCell ref="C500:C501"/>
    <mergeCell ref="D500:D501"/>
    <mergeCell ref="F500:F501"/>
    <mergeCell ref="C502:C503"/>
    <mergeCell ref="D502:D503"/>
    <mergeCell ref="F502:F503"/>
    <mergeCell ref="C504:C505"/>
    <mergeCell ref="D504:D505"/>
    <mergeCell ref="F504:F505"/>
    <mergeCell ref="C514:C515"/>
    <mergeCell ref="D514:D515"/>
    <mergeCell ref="F514:F515"/>
    <mergeCell ref="C608:C609"/>
    <mergeCell ref="D608:D609"/>
    <mergeCell ref="F608:F609"/>
    <mergeCell ref="C610:C611"/>
    <mergeCell ref="D610:D611"/>
    <mergeCell ref="F610:F611"/>
    <mergeCell ref="C612:C613"/>
    <mergeCell ref="D612:D613"/>
    <mergeCell ref="F612:F613"/>
    <mergeCell ref="C602:C603"/>
    <mergeCell ref="D602:D603"/>
    <mergeCell ref="F602:F603"/>
    <mergeCell ref="C604:C605"/>
    <mergeCell ref="D604:D605"/>
    <mergeCell ref="F604:F605"/>
    <mergeCell ref="C606:C607"/>
    <mergeCell ref="D606:D607"/>
    <mergeCell ref="F606:F607"/>
    <mergeCell ref="C516:C517"/>
    <mergeCell ref="D516:D517"/>
    <mergeCell ref="F516:F517"/>
    <mergeCell ref="C518:C519"/>
    <mergeCell ref="C620:C621"/>
    <mergeCell ref="D620:D621"/>
    <mergeCell ref="F620:F621"/>
    <mergeCell ref="C622:C623"/>
    <mergeCell ref="D622:D623"/>
    <mergeCell ref="F622:F623"/>
    <mergeCell ref="C624:C625"/>
    <mergeCell ref="D624:D625"/>
    <mergeCell ref="F624:F625"/>
    <mergeCell ref="C614:C615"/>
    <mergeCell ref="D614:D615"/>
    <mergeCell ref="F614:F615"/>
    <mergeCell ref="C616:C617"/>
    <mergeCell ref="D616:D617"/>
    <mergeCell ref="F616:F617"/>
    <mergeCell ref="C618:C619"/>
    <mergeCell ref="D618:D619"/>
    <mergeCell ref="F618:F619"/>
    <mergeCell ref="C632:C633"/>
    <mergeCell ref="D632:D633"/>
    <mergeCell ref="F632:F633"/>
    <mergeCell ref="C634:C635"/>
    <mergeCell ref="D634:D635"/>
    <mergeCell ref="F634:F635"/>
    <mergeCell ref="C636:C637"/>
    <mergeCell ref="D636:D637"/>
    <mergeCell ref="F636:F637"/>
    <mergeCell ref="C626:C627"/>
    <mergeCell ref="D626:D627"/>
    <mergeCell ref="F626:F627"/>
    <mergeCell ref="C628:C629"/>
    <mergeCell ref="D628:D629"/>
    <mergeCell ref="F628:F629"/>
    <mergeCell ref="C630:C631"/>
    <mergeCell ref="D630:D631"/>
    <mergeCell ref="F630:F631"/>
    <mergeCell ref="C644:C645"/>
    <mergeCell ref="D644:D645"/>
    <mergeCell ref="F644:F645"/>
    <mergeCell ref="C646:C647"/>
    <mergeCell ref="D646:D647"/>
    <mergeCell ref="F646:F647"/>
    <mergeCell ref="C648:C649"/>
    <mergeCell ref="D648:D649"/>
    <mergeCell ref="F648:F649"/>
    <mergeCell ref="C652:C653"/>
    <mergeCell ref="D652:D653"/>
    <mergeCell ref="F652:F653"/>
    <mergeCell ref="C654:C655"/>
    <mergeCell ref="D654:D655"/>
    <mergeCell ref="F654:F655"/>
    <mergeCell ref="C638:C639"/>
    <mergeCell ref="D638:D639"/>
    <mergeCell ref="F638:F639"/>
    <mergeCell ref="C640:C641"/>
    <mergeCell ref="D640:D641"/>
    <mergeCell ref="F640:F641"/>
    <mergeCell ref="C642:C643"/>
    <mergeCell ref="D642:D643"/>
    <mergeCell ref="F642:F643"/>
    <mergeCell ref="F672:F673"/>
    <mergeCell ref="C674:C675"/>
    <mergeCell ref="D674:D675"/>
    <mergeCell ref="F674:F675"/>
    <mergeCell ref="C676:C677"/>
    <mergeCell ref="D676:D677"/>
    <mergeCell ref="F676:F677"/>
    <mergeCell ref="F664:F665"/>
    <mergeCell ref="C658:C659"/>
    <mergeCell ref="D658:D659"/>
    <mergeCell ref="F658:F659"/>
    <mergeCell ref="C660:C661"/>
    <mergeCell ref="D660:D661"/>
    <mergeCell ref="F660:F661"/>
    <mergeCell ref="C662:C663"/>
    <mergeCell ref="D662:D663"/>
    <mergeCell ref="C650:C651"/>
    <mergeCell ref="D650:D651"/>
    <mergeCell ref="F650:F651"/>
    <mergeCell ref="F662:F663"/>
    <mergeCell ref="C666:C667"/>
    <mergeCell ref="D666:D667"/>
    <mergeCell ref="F666:F667"/>
    <mergeCell ref="C668:C669"/>
    <mergeCell ref="D668:D669"/>
    <mergeCell ref="F668:F669"/>
    <mergeCell ref="C670:C671"/>
    <mergeCell ref="D670:D671"/>
    <mergeCell ref="F670:F671"/>
    <mergeCell ref="F704:F705"/>
    <mergeCell ref="C684:C685"/>
    <mergeCell ref="D684:D685"/>
    <mergeCell ref="F684:F685"/>
    <mergeCell ref="C686:C687"/>
    <mergeCell ref="D686:D687"/>
    <mergeCell ref="F686:F687"/>
    <mergeCell ref="C688:C689"/>
    <mergeCell ref="D688:D689"/>
    <mergeCell ref="F688:F689"/>
    <mergeCell ref="C708:C709"/>
    <mergeCell ref="D708:D709"/>
    <mergeCell ref="F708:F709"/>
    <mergeCell ref="C710:C711"/>
    <mergeCell ref="D710:D711"/>
    <mergeCell ref="F710:F711"/>
    <mergeCell ref="C656:C657"/>
    <mergeCell ref="D656:D657"/>
    <mergeCell ref="F656:F657"/>
    <mergeCell ref="C664:C665"/>
    <mergeCell ref="D664:D665"/>
    <mergeCell ref="C678:C679"/>
    <mergeCell ref="D678:D679"/>
    <mergeCell ref="F678:F679"/>
    <mergeCell ref="C680:C681"/>
    <mergeCell ref="D680:D681"/>
    <mergeCell ref="F680:F681"/>
    <mergeCell ref="C682:C683"/>
    <mergeCell ref="D682:D683"/>
    <mergeCell ref="F682:F683"/>
    <mergeCell ref="C672:C673"/>
    <mergeCell ref="D672:D673"/>
    <mergeCell ref="C712:C713"/>
    <mergeCell ref="D712:D713"/>
    <mergeCell ref="F712:F713"/>
    <mergeCell ref="F726:F727"/>
    <mergeCell ref="C728:C729"/>
    <mergeCell ref="D728:D729"/>
    <mergeCell ref="F728:F729"/>
    <mergeCell ref="C730:C731"/>
    <mergeCell ref="D730:D731"/>
    <mergeCell ref="F730:F731"/>
    <mergeCell ref="F744:F745"/>
    <mergeCell ref="D722:D723"/>
    <mergeCell ref="F722:F723"/>
    <mergeCell ref="D694:D695"/>
    <mergeCell ref="F694:F695"/>
    <mergeCell ref="C696:C697"/>
    <mergeCell ref="D696:D697"/>
    <mergeCell ref="F696:F697"/>
    <mergeCell ref="C698:C699"/>
    <mergeCell ref="D698:D699"/>
    <mergeCell ref="F698:F699"/>
    <mergeCell ref="C714:C715"/>
    <mergeCell ref="D714:D715"/>
    <mergeCell ref="F714:F715"/>
    <mergeCell ref="C716:C717"/>
    <mergeCell ref="D716:D717"/>
    <mergeCell ref="F716:F717"/>
    <mergeCell ref="C718:C719"/>
    <mergeCell ref="D718:D719"/>
    <mergeCell ref="F718:F719"/>
    <mergeCell ref="C704:C705"/>
    <mergeCell ref="D704:D705"/>
    <mergeCell ref="C724:C725"/>
    <mergeCell ref="D724:D725"/>
    <mergeCell ref="F724:F725"/>
    <mergeCell ref="K751:L751"/>
    <mergeCell ref="C752:E752"/>
    <mergeCell ref="C753:H753"/>
    <mergeCell ref="C738:C739"/>
    <mergeCell ref="D738:D739"/>
    <mergeCell ref="F738:F739"/>
    <mergeCell ref="C768:C769"/>
    <mergeCell ref="D768:D769"/>
    <mergeCell ref="F768:F769"/>
    <mergeCell ref="C766:C767"/>
    <mergeCell ref="D766:D767"/>
    <mergeCell ref="F766:F767"/>
    <mergeCell ref="C754:C755"/>
    <mergeCell ref="D754:D755"/>
    <mergeCell ref="F754:F755"/>
    <mergeCell ref="C756:C757"/>
    <mergeCell ref="D756:D757"/>
    <mergeCell ref="F756:F757"/>
    <mergeCell ref="C760:C761"/>
    <mergeCell ref="D760:D761"/>
    <mergeCell ref="F760:F761"/>
    <mergeCell ref="C762:C763"/>
    <mergeCell ref="D762:D763"/>
    <mergeCell ref="C732:C733"/>
    <mergeCell ref="D732:D733"/>
    <mergeCell ref="F732:F733"/>
    <mergeCell ref="C734:C735"/>
    <mergeCell ref="D734:D735"/>
    <mergeCell ref="F734:F735"/>
    <mergeCell ref="C736:C737"/>
    <mergeCell ref="D736:D737"/>
    <mergeCell ref="F736:F737"/>
    <mergeCell ref="C726:C727"/>
    <mergeCell ref="D726:D727"/>
    <mergeCell ref="C764:C765"/>
    <mergeCell ref="D764:D765"/>
    <mergeCell ref="F764:F765"/>
    <mergeCell ref="C758:C759"/>
    <mergeCell ref="D758:D759"/>
    <mergeCell ref="F758:F759"/>
    <mergeCell ref="C740:C741"/>
    <mergeCell ref="D740:D741"/>
    <mergeCell ref="F740:F741"/>
    <mergeCell ref="C744:C745"/>
    <mergeCell ref="D744:D745"/>
    <mergeCell ref="C746:C747"/>
    <mergeCell ref="D746:D747"/>
    <mergeCell ref="F746:F747"/>
    <mergeCell ref="C742:C743"/>
    <mergeCell ref="D742:D743"/>
    <mergeCell ref="F742:F743"/>
    <mergeCell ref="C808:C809"/>
    <mergeCell ref="D808:D809"/>
    <mergeCell ref="F808:F809"/>
    <mergeCell ref="C810:C811"/>
    <mergeCell ref="D810:D811"/>
    <mergeCell ref="F810:F811"/>
    <mergeCell ref="C748:C749"/>
    <mergeCell ref="D748:D749"/>
    <mergeCell ref="F748:F749"/>
    <mergeCell ref="C750:C751"/>
    <mergeCell ref="F750:F751"/>
    <mergeCell ref="C770:C771"/>
    <mergeCell ref="D770:D771"/>
    <mergeCell ref="F770:F771"/>
    <mergeCell ref="C772:C773"/>
    <mergeCell ref="D772:D773"/>
    <mergeCell ref="F772:F773"/>
    <mergeCell ref="C774:C775"/>
    <mergeCell ref="D774:D775"/>
    <mergeCell ref="F774:F775"/>
    <mergeCell ref="C784:C785"/>
    <mergeCell ref="F762:F763"/>
    <mergeCell ref="D784:D785"/>
    <mergeCell ref="F784:F785"/>
    <mergeCell ref="C786:C787"/>
    <mergeCell ref="D786:D787"/>
    <mergeCell ref="F786:F787"/>
    <mergeCell ref="C788:C789"/>
    <mergeCell ref="D788:D789"/>
    <mergeCell ref="F788:F789"/>
    <mergeCell ref="C790:C791"/>
    <mergeCell ref="D790:D791"/>
    <mergeCell ref="F828:F829"/>
    <mergeCell ref="C826:C827"/>
    <mergeCell ref="D826:D827"/>
    <mergeCell ref="F826:F827"/>
    <mergeCell ref="C830:C831"/>
    <mergeCell ref="D830:D831"/>
    <mergeCell ref="F830:F831"/>
    <mergeCell ref="C844:C845"/>
    <mergeCell ref="D844:D845"/>
    <mergeCell ref="F844:F845"/>
    <mergeCell ref="C846:C847"/>
    <mergeCell ref="D846:D847"/>
    <mergeCell ref="F846:F847"/>
    <mergeCell ref="C848:C849"/>
    <mergeCell ref="D848:D849"/>
    <mergeCell ref="F848:F849"/>
    <mergeCell ref="C850:C851"/>
    <mergeCell ref="D850:D851"/>
    <mergeCell ref="F850:F851"/>
    <mergeCell ref="C832:C833"/>
    <mergeCell ref="D832:D833"/>
    <mergeCell ref="F832:F833"/>
    <mergeCell ref="C834:C835"/>
    <mergeCell ref="D834:D835"/>
    <mergeCell ref="F834:F835"/>
    <mergeCell ref="C838:C839"/>
    <mergeCell ref="D838:D839"/>
    <mergeCell ref="F838:F839"/>
    <mergeCell ref="C836:C837"/>
    <mergeCell ref="D836:D837"/>
    <mergeCell ref="F836:F837"/>
    <mergeCell ref="C840:C841"/>
    <mergeCell ref="D840:D841"/>
    <mergeCell ref="F840:F841"/>
    <mergeCell ref="C842:C843"/>
    <mergeCell ref="D842:D843"/>
    <mergeCell ref="F842:F843"/>
    <mergeCell ref="C860:C861"/>
    <mergeCell ref="D860:D861"/>
    <mergeCell ref="F860:F861"/>
    <mergeCell ref="C862:C863"/>
    <mergeCell ref="D862:D863"/>
    <mergeCell ref="F862:F863"/>
    <mergeCell ref="C864:C865"/>
    <mergeCell ref="D864:D865"/>
    <mergeCell ref="F864:F865"/>
    <mergeCell ref="C866:C867"/>
    <mergeCell ref="D866:D867"/>
    <mergeCell ref="F866:F867"/>
    <mergeCell ref="C856:C857"/>
    <mergeCell ref="D856:D857"/>
    <mergeCell ref="F856:F857"/>
    <mergeCell ref="C858:C859"/>
    <mergeCell ref="D858:D859"/>
    <mergeCell ref="F858:F859"/>
    <mergeCell ref="C868:C869"/>
    <mergeCell ref="D868:D869"/>
    <mergeCell ref="F868:F869"/>
    <mergeCell ref="C870:C871"/>
    <mergeCell ref="D870:D871"/>
    <mergeCell ref="F870:F871"/>
    <mergeCell ref="C872:C873"/>
    <mergeCell ref="D872:D873"/>
    <mergeCell ref="F872:F873"/>
    <mergeCell ref="C874:C875"/>
    <mergeCell ref="D874:D875"/>
    <mergeCell ref="F874:F875"/>
    <mergeCell ref="C876:C877"/>
    <mergeCell ref="D876:D877"/>
    <mergeCell ref="F876:F877"/>
    <mergeCell ref="C878:C879"/>
    <mergeCell ref="D878:D879"/>
    <mergeCell ref="F878:F879"/>
    <mergeCell ref="C880:C881"/>
    <mergeCell ref="D880:D881"/>
    <mergeCell ref="F880:F881"/>
    <mergeCell ref="C882:C883"/>
    <mergeCell ref="D882:D883"/>
    <mergeCell ref="F882:F883"/>
    <mergeCell ref="C884:C885"/>
    <mergeCell ref="D884:D885"/>
    <mergeCell ref="F884:F885"/>
    <mergeCell ref="C886:C887"/>
    <mergeCell ref="D886:D887"/>
    <mergeCell ref="F886:F887"/>
    <mergeCell ref="C888:C889"/>
    <mergeCell ref="D888:D889"/>
    <mergeCell ref="F888:F889"/>
    <mergeCell ref="C890:C891"/>
    <mergeCell ref="D890:D891"/>
    <mergeCell ref="F890:F891"/>
    <mergeCell ref="C892:C893"/>
    <mergeCell ref="D892:D893"/>
    <mergeCell ref="F892:F893"/>
    <mergeCell ref="C894:C895"/>
    <mergeCell ref="D894:D895"/>
    <mergeCell ref="F894:F895"/>
    <mergeCell ref="C896:C897"/>
    <mergeCell ref="D896:D897"/>
    <mergeCell ref="F896:F897"/>
    <mergeCell ref="C898:C899"/>
    <mergeCell ref="D898:D899"/>
    <mergeCell ref="F898:F899"/>
    <mergeCell ref="C900:C901"/>
    <mergeCell ref="D900:D901"/>
    <mergeCell ref="F900:F901"/>
    <mergeCell ref="C902:C903"/>
    <mergeCell ref="D902:D903"/>
    <mergeCell ref="F902:F903"/>
    <mergeCell ref="C904:C905"/>
    <mergeCell ref="D904:D905"/>
    <mergeCell ref="F904:F905"/>
    <mergeCell ref="C906:C907"/>
    <mergeCell ref="D906:D907"/>
    <mergeCell ref="F906:F907"/>
    <mergeCell ref="C908:C909"/>
    <mergeCell ref="D908:D909"/>
    <mergeCell ref="F908:F909"/>
    <mergeCell ref="C910:C911"/>
    <mergeCell ref="D910:D911"/>
    <mergeCell ref="F910:F911"/>
    <mergeCell ref="C912:C913"/>
    <mergeCell ref="D912:D913"/>
    <mergeCell ref="F912:F913"/>
    <mergeCell ref="C914:C915"/>
    <mergeCell ref="D914:D915"/>
    <mergeCell ref="F914:F915"/>
    <mergeCell ref="C928:C929"/>
    <mergeCell ref="D928:D929"/>
    <mergeCell ref="F928:F929"/>
    <mergeCell ref="C930:C931"/>
    <mergeCell ref="D930:D931"/>
    <mergeCell ref="F930:F931"/>
    <mergeCell ref="C916:C917"/>
    <mergeCell ref="D916:D917"/>
    <mergeCell ref="F916:F917"/>
    <mergeCell ref="C918:C919"/>
    <mergeCell ref="D918:D919"/>
    <mergeCell ref="F918:F919"/>
    <mergeCell ref="C920:C921"/>
    <mergeCell ref="D920:D921"/>
    <mergeCell ref="F920:F921"/>
    <mergeCell ref="C922:C923"/>
    <mergeCell ref="D922:D923"/>
    <mergeCell ref="F922:F923"/>
    <mergeCell ref="C924:C925"/>
    <mergeCell ref="D924:D925"/>
    <mergeCell ref="F924:F925"/>
    <mergeCell ref="C926:C927"/>
    <mergeCell ref="D926:D927"/>
    <mergeCell ref="F926:F9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7B19-779D-4330-9D73-149F27284001}">
  <dimension ref="A1:BG547"/>
  <sheetViews>
    <sheetView zoomScale="85" zoomScaleNormal="85" workbookViewId="0">
      <pane ySplit="2" topLeftCell="A511" activePane="bottomLeft" state="frozen"/>
      <selection pane="bottomLeft" activeCell="D548" sqref="D548"/>
    </sheetView>
  </sheetViews>
  <sheetFormatPr baseColWidth="10" defaultRowHeight="15" x14ac:dyDescent="0.25"/>
  <cols>
    <col min="2" max="3" width="11.42578125" style="11"/>
    <col min="4" max="4" width="9.85546875" bestFit="1" customWidth="1"/>
    <col min="5" max="5" width="12.28515625" bestFit="1" customWidth="1"/>
    <col min="6" max="7" width="11.42578125" style="11"/>
    <col min="8" max="8" width="4.7109375" customWidth="1"/>
    <col min="10" max="11" width="11.42578125" style="11"/>
    <col min="12" max="12" width="4.7109375" customWidth="1"/>
    <col min="14" max="15" width="11.42578125" style="11"/>
    <col min="16" max="16" width="4.7109375" customWidth="1"/>
    <col min="18" max="19" width="11.42578125" style="11"/>
    <col min="20" max="20" width="4.7109375" customWidth="1"/>
    <col min="22" max="23" width="11.42578125" style="11"/>
    <col min="24" max="24" width="4.7109375" customWidth="1"/>
    <col min="26" max="27" width="11.42578125" style="11"/>
    <col min="28" max="28" width="4.7109375" customWidth="1"/>
    <col min="30" max="31" width="11.42578125" style="11"/>
    <col min="32" max="32" width="4.7109375" customWidth="1"/>
    <col min="34" max="35" width="11.42578125" style="11"/>
    <col min="36" max="36" width="4.7109375" customWidth="1"/>
    <col min="38" max="39" width="11.42578125" style="11"/>
    <col min="40" max="40" width="4.7109375" customWidth="1"/>
    <col min="42" max="43" width="11.42578125" style="11"/>
    <col min="44" max="44" width="4.7109375" customWidth="1"/>
    <col min="46" max="47" width="11.42578125" style="11"/>
    <col min="48" max="48" width="4.7109375" customWidth="1"/>
    <col min="50" max="51" width="11.42578125" style="11"/>
    <col min="52" max="52" width="4.7109375" customWidth="1"/>
    <col min="54" max="55" width="11.42578125" style="11"/>
    <col min="56" max="56" width="4.7109375" customWidth="1"/>
    <col min="58" max="59" width="11.42578125" style="11"/>
  </cols>
  <sheetData>
    <row r="1" spans="1:59" s="42" customFormat="1" x14ac:dyDescent="0.25">
      <c r="A1" s="146" t="s">
        <v>96</v>
      </c>
      <c r="B1" s="145" t="s">
        <v>97</v>
      </c>
      <c r="C1" s="145"/>
      <c r="E1" s="143" t="s">
        <v>96</v>
      </c>
      <c r="F1" s="145" t="s">
        <v>98</v>
      </c>
      <c r="G1" s="145"/>
      <c r="I1" s="143" t="s">
        <v>96</v>
      </c>
      <c r="J1" s="145" t="s">
        <v>99</v>
      </c>
      <c r="K1" s="145"/>
      <c r="M1" s="143" t="s">
        <v>96</v>
      </c>
      <c r="N1" s="145" t="s">
        <v>100</v>
      </c>
      <c r="O1" s="145"/>
      <c r="Q1" s="143" t="s">
        <v>96</v>
      </c>
      <c r="R1" s="145" t="s">
        <v>101</v>
      </c>
      <c r="S1" s="145"/>
      <c r="U1" s="148" t="s">
        <v>96</v>
      </c>
      <c r="V1" s="150" t="s">
        <v>107</v>
      </c>
      <c r="W1" s="151"/>
      <c r="Y1" s="143" t="s">
        <v>96</v>
      </c>
      <c r="Z1" s="145" t="s">
        <v>103</v>
      </c>
      <c r="AA1" s="145"/>
      <c r="AC1" s="143" t="s">
        <v>96</v>
      </c>
      <c r="AD1" s="145" t="s">
        <v>187</v>
      </c>
      <c r="AE1" s="145"/>
      <c r="AG1" s="143" t="s">
        <v>96</v>
      </c>
      <c r="AH1" s="145" t="s">
        <v>105</v>
      </c>
      <c r="AI1" s="145"/>
      <c r="AK1" s="143" t="s">
        <v>96</v>
      </c>
      <c r="AL1" s="145" t="s">
        <v>104</v>
      </c>
      <c r="AM1" s="145"/>
      <c r="AO1" s="143" t="s">
        <v>96</v>
      </c>
      <c r="AP1" s="145" t="s">
        <v>108</v>
      </c>
      <c r="AQ1" s="145"/>
      <c r="AS1" s="143" t="s">
        <v>96</v>
      </c>
      <c r="AT1" s="145" t="s">
        <v>109</v>
      </c>
      <c r="AU1" s="145"/>
      <c r="AW1" s="143" t="s">
        <v>96</v>
      </c>
      <c r="AX1" s="145" t="s">
        <v>110</v>
      </c>
      <c r="AY1" s="145"/>
      <c r="BA1" s="143" t="s">
        <v>96</v>
      </c>
      <c r="BB1" s="145" t="s">
        <v>106</v>
      </c>
      <c r="BC1" s="145"/>
      <c r="BE1" s="143" t="s">
        <v>96</v>
      </c>
      <c r="BF1" s="145" t="s">
        <v>102</v>
      </c>
      <c r="BG1" s="145"/>
    </row>
    <row r="2" spans="1:59" s="18" customFormat="1" ht="15.75" thickBot="1" x14ac:dyDescent="0.3">
      <c r="A2" s="147"/>
      <c r="B2" s="16" t="s">
        <v>111</v>
      </c>
      <c r="C2" s="16" t="s">
        <v>112</v>
      </c>
      <c r="E2" s="144"/>
      <c r="F2" s="16" t="s">
        <v>111</v>
      </c>
      <c r="G2" s="16" t="s">
        <v>112</v>
      </c>
      <c r="I2" s="144"/>
      <c r="J2" s="16" t="s">
        <v>111</v>
      </c>
      <c r="K2" s="16" t="s">
        <v>112</v>
      </c>
      <c r="M2" s="144"/>
      <c r="N2" s="16" t="s">
        <v>111</v>
      </c>
      <c r="O2" s="16" t="s">
        <v>112</v>
      </c>
      <c r="Q2" s="144"/>
      <c r="R2" s="16" t="s">
        <v>111</v>
      </c>
      <c r="S2" s="16" t="s">
        <v>112</v>
      </c>
      <c r="U2" s="149"/>
      <c r="V2" s="16" t="s">
        <v>111</v>
      </c>
      <c r="W2" s="16" t="s">
        <v>112</v>
      </c>
      <c r="Y2" s="144"/>
      <c r="Z2" s="16" t="s">
        <v>111</v>
      </c>
      <c r="AA2" s="16" t="s">
        <v>112</v>
      </c>
      <c r="AC2" s="144"/>
      <c r="AD2" s="16" t="s">
        <v>111</v>
      </c>
      <c r="AE2" s="16" t="s">
        <v>112</v>
      </c>
      <c r="AG2" s="144"/>
      <c r="AH2" s="16" t="s">
        <v>111</v>
      </c>
      <c r="AI2" s="16" t="s">
        <v>112</v>
      </c>
      <c r="AK2" s="144"/>
      <c r="AL2" s="16" t="s">
        <v>111</v>
      </c>
      <c r="AM2" s="16" t="s">
        <v>112</v>
      </c>
      <c r="AO2" s="144"/>
      <c r="AP2" s="16" t="s">
        <v>111</v>
      </c>
      <c r="AQ2" s="16" t="s">
        <v>112</v>
      </c>
      <c r="AS2" s="144"/>
      <c r="AT2" s="16" t="s">
        <v>111</v>
      </c>
      <c r="AU2" s="16" t="s">
        <v>112</v>
      </c>
      <c r="AW2" s="144"/>
      <c r="AX2" s="16" t="s">
        <v>111</v>
      </c>
      <c r="AY2" s="16" t="s">
        <v>112</v>
      </c>
      <c r="BA2" s="144"/>
      <c r="BB2" s="16" t="s">
        <v>111</v>
      </c>
      <c r="BC2" s="16" t="s">
        <v>112</v>
      </c>
      <c r="BE2" s="144"/>
      <c r="BF2" s="16" t="s">
        <v>111</v>
      </c>
      <c r="BG2" s="16" t="s">
        <v>112</v>
      </c>
    </row>
    <row r="3" spans="1:59" x14ac:dyDescent="0.25">
      <c r="A3" s="137" t="s">
        <v>122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9"/>
    </row>
    <row r="4" spans="1:59" ht="15.75" thickBot="1" x14ac:dyDescent="0.3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2"/>
    </row>
    <row r="5" spans="1:59" x14ac:dyDescent="0.25">
      <c r="A5">
        <v>1</v>
      </c>
      <c r="B5" s="41"/>
      <c r="C5" s="41">
        <v>16801</v>
      </c>
      <c r="F5" s="41"/>
      <c r="G5" s="41"/>
      <c r="J5" s="41"/>
      <c r="K5" s="41"/>
      <c r="N5" s="41"/>
      <c r="O5" s="41"/>
      <c r="R5" s="41"/>
      <c r="S5" s="41"/>
      <c r="V5" s="41"/>
      <c r="W5" s="41"/>
      <c r="Z5" s="41"/>
      <c r="AA5" s="41"/>
      <c r="AD5" s="41"/>
      <c r="AE5" s="41"/>
      <c r="AH5" s="41"/>
      <c r="AI5" s="41"/>
      <c r="AL5" s="41"/>
      <c r="AM5" s="41"/>
      <c r="AP5" s="41"/>
      <c r="AQ5" s="41"/>
      <c r="AT5" s="41"/>
      <c r="AU5" s="41"/>
      <c r="AX5" s="41"/>
      <c r="AY5" s="41"/>
      <c r="BB5" s="41"/>
      <c r="BC5" s="41"/>
      <c r="BE5">
        <v>1</v>
      </c>
      <c r="BF5" s="41">
        <v>16801</v>
      </c>
      <c r="BG5" s="41"/>
    </row>
    <row r="6" spans="1:59" x14ac:dyDescent="0.25">
      <c r="A6">
        <v>2</v>
      </c>
      <c r="C6" s="11">
        <v>8.15</v>
      </c>
      <c r="U6">
        <v>2</v>
      </c>
      <c r="V6" s="11">
        <v>8.15</v>
      </c>
    </row>
    <row r="7" spans="1:59" x14ac:dyDescent="0.25">
      <c r="A7">
        <v>3</v>
      </c>
      <c r="B7" s="11">
        <v>14.77</v>
      </c>
      <c r="U7">
        <v>3</v>
      </c>
      <c r="W7" s="11">
        <v>14.77</v>
      </c>
    </row>
    <row r="8" spans="1:59" x14ac:dyDescent="0.25">
      <c r="A8">
        <v>4</v>
      </c>
      <c r="C8" s="11">
        <v>100</v>
      </c>
      <c r="M8">
        <v>4</v>
      </c>
      <c r="N8" s="11">
        <v>100</v>
      </c>
    </row>
    <row r="9" spans="1:59" x14ac:dyDescent="0.25">
      <c r="A9">
        <v>5</v>
      </c>
      <c r="B9" s="11">
        <v>44.2</v>
      </c>
      <c r="Y9">
        <v>5</v>
      </c>
      <c r="AA9" s="11">
        <v>44.2</v>
      </c>
    </row>
    <row r="10" spans="1:59" x14ac:dyDescent="0.25">
      <c r="A10">
        <v>6</v>
      </c>
      <c r="B10" s="11">
        <v>19</v>
      </c>
      <c r="U10">
        <v>6</v>
      </c>
      <c r="W10" s="11">
        <v>19</v>
      </c>
    </row>
    <row r="11" spans="1:59" x14ac:dyDescent="0.25">
      <c r="A11">
        <v>7</v>
      </c>
      <c r="B11" s="11">
        <v>2</v>
      </c>
      <c r="C11" s="11">
        <v>100</v>
      </c>
      <c r="M11">
        <v>7</v>
      </c>
      <c r="N11" s="11">
        <v>100</v>
      </c>
      <c r="Q11">
        <v>7</v>
      </c>
      <c r="S11" s="11">
        <v>2</v>
      </c>
    </row>
    <row r="12" spans="1:59" x14ac:dyDescent="0.25">
      <c r="A12">
        <v>8</v>
      </c>
      <c r="C12" s="11">
        <v>130</v>
      </c>
      <c r="M12">
        <v>8</v>
      </c>
      <c r="N12" s="11">
        <v>130</v>
      </c>
    </row>
    <row r="13" spans="1:59" x14ac:dyDescent="0.25">
      <c r="A13">
        <v>9</v>
      </c>
      <c r="B13" s="11">
        <v>1.5</v>
      </c>
      <c r="C13" s="11">
        <v>200</v>
      </c>
      <c r="M13">
        <v>9</v>
      </c>
      <c r="N13" s="11">
        <v>200</v>
      </c>
      <c r="Q13">
        <v>9</v>
      </c>
      <c r="S13" s="11">
        <v>1.5</v>
      </c>
    </row>
    <row r="14" spans="1:59" x14ac:dyDescent="0.25">
      <c r="A14">
        <v>10</v>
      </c>
      <c r="C14" s="11">
        <v>6</v>
      </c>
      <c r="AW14">
        <v>10</v>
      </c>
      <c r="AX14" s="11">
        <v>6</v>
      </c>
    </row>
    <row r="15" spans="1:59" x14ac:dyDescent="0.25">
      <c r="A15">
        <v>11</v>
      </c>
      <c r="B15" s="11">
        <v>143</v>
      </c>
      <c r="Y15">
        <v>11</v>
      </c>
      <c r="AA15" s="11">
        <v>143</v>
      </c>
    </row>
    <row r="16" spans="1:59" x14ac:dyDescent="0.25">
      <c r="A16">
        <v>12</v>
      </c>
      <c r="C16" s="11">
        <v>200</v>
      </c>
      <c r="M16">
        <v>12</v>
      </c>
      <c r="N16" s="11">
        <v>200</v>
      </c>
    </row>
    <row r="17" spans="1:39" x14ac:dyDescent="0.25">
      <c r="A17">
        <v>13</v>
      </c>
      <c r="C17" s="11">
        <v>100</v>
      </c>
      <c r="M17">
        <v>13</v>
      </c>
      <c r="N17" s="11">
        <v>100</v>
      </c>
    </row>
    <row r="18" spans="1:39" x14ac:dyDescent="0.25">
      <c r="A18">
        <v>14</v>
      </c>
      <c r="B18" s="11">
        <v>55</v>
      </c>
      <c r="AK18">
        <v>14</v>
      </c>
      <c r="AM18" s="11">
        <v>55</v>
      </c>
    </row>
    <row r="19" spans="1:39" x14ac:dyDescent="0.25">
      <c r="A19">
        <v>15</v>
      </c>
      <c r="C19" s="11">
        <v>280</v>
      </c>
      <c r="M19">
        <v>15</v>
      </c>
      <c r="N19" s="11">
        <v>280</v>
      </c>
    </row>
    <row r="20" spans="1:39" x14ac:dyDescent="0.25">
      <c r="A20">
        <v>16</v>
      </c>
      <c r="B20" s="11">
        <v>64</v>
      </c>
      <c r="AC20">
        <v>16</v>
      </c>
      <c r="AE20" s="11">
        <v>64</v>
      </c>
    </row>
    <row r="21" spans="1:39" x14ac:dyDescent="0.25">
      <c r="A21">
        <v>17</v>
      </c>
      <c r="C21" s="11">
        <v>80</v>
      </c>
      <c r="M21">
        <v>17</v>
      </c>
      <c r="N21" s="11">
        <v>80</v>
      </c>
    </row>
    <row r="22" spans="1:39" x14ac:dyDescent="0.25">
      <c r="A22">
        <v>18</v>
      </c>
      <c r="B22" s="11">
        <v>2</v>
      </c>
      <c r="C22" s="11">
        <v>100</v>
      </c>
      <c r="M22">
        <v>18</v>
      </c>
      <c r="N22" s="11">
        <v>100</v>
      </c>
      <c r="Q22">
        <v>18</v>
      </c>
      <c r="S22" s="11">
        <v>2</v>
      </c>
    </row>
    <row r="23" spans="1:39" x14ac:dyDescent="0.25">
      <c r="A23">
        <v>19</v>
      </c>
      <c r="B23" s="11">
        <v>2</v>
      </c>
      <c r="C23" s="11">
        <v>105</v>
      </c>
      <c r="M23">
        <v>19</v>
      </c>
      <c r="N23" s="11">
        <v>105</v>
      </c>
      <c r="Q23">
        <v>19</v>
      </c>
      <c r="S23" s="11">
        <v>2</v>
      </c>
    </row>
    <row r="24" spans="1:39" x14ac:dyDescent="0.25">
      <c r="A24">
        <v>20</v>
      </c>
      <c r="B24" s="11">
        <v>26</v>
      </c>
      <c r="U24">
        <v>20</v>
      </c>
      <c r="W24" s="11">
        <v>26</v>
      </c>
    </row>
    <row r="25" spans="1:39" x14ac:dyDescent="0.25">
      <c r="A25">
        <v>21</v>
      </c>
      <c r="C25" s="11">
        <v>110</v>
      </c>
      <c r="M25">
        <v>21</v>
      </c>
      <c r="N25" s="11">
        <v>110</v>
      </c>
    </row>
    <row r="26" spans="1:39" x14ac:dyDescent="0.25">
      <c r="A26">
        <v>22</v>
      </c>
      <c r="C26" s="11">
        <v>100</v>
      </c>
      <c r="M26">
        <v>22</v>
      </c>
      <c r="N26" s="11">
        <v>100</v>
      </c>
    </row>
    <row r="27" spans="1:39" x14ac:dyDescent="0.25">
      <c r="A27">
        <v>23</v>
      </c>
      <c r="C27" s="11">
        <v>180</v>
      </c>
      <c r="M27">
        <v>23</v>
      </c>
      <c r="N27" s="11">
        <v>180</v>
      </c>
    </row>
    <row r="28" spans="1:39" x14ac:dyDescent="0.25">
      <c r="A28">
        <v>24</v>
      </c>
      <c r="C28" s="11">
        <v>100</v>
      </c>
      <c r="M28">
        <v>24</v>
      </c>
      <c r="N28" s="11">
        <v>100</v>
      </c>
    </row>
    <row r="29" spans="1:39" x14ac:dyDescent="0.25">
      <c r="A29">
        <v>24</v>
      </c>
      <c r="B29" s="11">
        <v>7.2</v>
      </c>
      <c r="C29" s="11">
        <v>10</v>
      </c>
      <c r="Q29">
        <v>24</v>
      </c>
      <c r="R29" s="11">
        <v>10</v>
      </c>
      <c r="S29" s="11">
        <v>7.2</v>
      </c>
    </row>
    <row r="30" spans="1:39" x14ac:dyDescent="0.25">
      <c r="A30">
        <v>25</v>
      </c>
      <c r="B30" s="11">
        <v>307.63</v>
      </c>
      <c r="E30">
        <v>25</v>
      </c>
      <c r="G30" s="11">
        <v>307.63</v>
      </c>
    </row>
    <row r="31" spans="1:39" x14ac:dyDescent="0.25">
      <c r="A31">
        <v>26</v>
      </c>
      <c r="B31" s="11">
        <v>28</v>
      </c>
      <c r="U31">
        <v>26</v>
      </c>
      <c r="W31" s="11">
        <v>28</v>
      </c>
    </row>
    <row r="32" spans="1:39" x14ac:dyDescent="0.25">
      <c r="A32">
        <v>27</v>
      </c>
      <c r="C32" s="11">
        <v>100</v>
      </c>
      <c r="M32">
        <v>27</v>
      </c>
      <c r="N32" s="11">
        <v>100</v>
      </c>
    </row>
    <row r="33" spans="1:31" x14ac:dyDescent="0.25">
      <c r="A33">
        <v>28</v>
      </c>
      <c r="C33" s="11">
        <v>110</v>
      </c>
      <c r="M33">
        <v>28</v>
      </c>
      <c r="N33" s="11">
        <v>110</v>
      </c>
    </row>
    <row r="34" spans="1:31" x14ac:dyDescent="0.25">
      <c r="A34">
        <v>29</v>
      </c>
      <c r="C34" s="11">
        <v>100</v>
      </c>
      <c r="M34">
        <v>29</v>
      </c>
      <c r="N34" s="11">
        <v>100</v>
      </c>
    </row>
    <row r="35" spans="1:31" x14ac:dyDescent="0.25">
      <c r="A35">
        <v>30</v>
      </c>
      <c r="C35" s="11">
        <v>100</v>
      </c>
      <c r="M35">
        <v>30</v>
      </c>
      <c r="N35" s="11">
        <v>100</v>
      </c>
    </row>
    <row r="36" spans="1:31" x14ac:dyDescent="0.25">
      <c r="A36">
        <v>31</v>
      </c>
      <c r="B36" s="11">
        <v>4</v>
      </c>
      <c r="Q36">
        <v>31</v>
      </c>
      <c r="S36" s="11">
        <v>4</v>
      </c>
    </row>
    <row r="37" spans="1:31" x14ac:dyDescent="0.25">
      <c r="A37">
        <v>32</v>
      </c>
      <c r="C37" s="11">
        <v>200</v>
      </c>
      <c r="M37">
        <v>32</v>
      </c>
      <c r="N37" s="11">
        <v>200</v>
      </c>
    </row>
    <row r="38" spans="1:31" x14ac:dyDescent="0.25">
      <c r="A38">
        <v>32</v>
      </c>
      <c r="B38" s="11">
        <v>6</v>
      </c>
      <c r="C38" s="11">
        <v>5</v>
      </c>
      <c r="Q38">
        <v>32</v>
      </c>
      <c r="R38" s="11">
        <v>5</v>
      </c>
      <c r="S38" s="11">
        <v>6</v>
      </c>
    </row>
    <row r="39" spans="1:31" x14ac:dyDescent="0.25">
      <c r="A39">
        <v>33</v>
      </c>
      <c r="C39" s="11">
        <v>100</v>
      </c>
      <c r="M39">
        <v>33</v>
      </c>
      <c r="N39" s="11">
        <v>100</v>
      </c>
    </row>
    <row r="40" spans="1:31" x14ac:dyDescent="0.25">
      <c r="A40">
        <v>34</v>
      </c>
      <c r="B40" s="11">
        <v>42.3</v>
      </c>
      <c r="Y40">
        <v>34</v>
      </c>
      <c r="AA40" s="11">
        <v>42.3</v>
      </c>
    </row>
    <row r="41" spans="1:31" x14ac:dyDescent="0.25">
      <c r="A41">
        <v>35</v>
      </c>
      <c r="B41" s="11">
        <v>20</v>
      </c>
      <c r="Q41">
        <v>35</v>
      </c>
      <c r="S41" s="11">
        <v>20</v>
      </c>
    </row>
    <row r="42" spans="1:31" x14ac:dyDescent="0.25">
      <c r="A42">
        <v>36</v>
      </c>
      <c r="C42" s="11">
        <v>100</v>
      </c>
      <c r="M42">
        <v>36</v>
      </c>
      <c r="N42" s="11">
        <v>100</v>
      </c>
    </row>
    <row r="43" spans="1:31" x14ac:dyDescent="0.25">
      <c r="A43">
        <v>37</v>
      </c>
      <c r="B43" s="11">
        <v>2.5</v>
      </c>
      <c r="C43" s="11">
        <v>100</v>
      </c>
      <c r="M43">
        <v>37</v>
      </c>
      <c r="N43" s="11">
        <v>100</v>
      </c>
      <c r="Q43">
        <v>37</v>
      </c>
      <c r="S43" s="11">
        <v>2.5</v>
      </c>
    </row>
    <row r="44" spans="1:31" x14ac:dyDescent="0.25">
      <c r="A44">
        <v>38</v>
      </c>
      <c r="C44" s="11">
        <v>100</v>
      </c>
      <c r="M44">
        <v>38</v>
      </c>
      <c r="N44" s="11">
        <v>100</v>
      </c>
    </row>
    <row r="45" spans="1:31" x14ac:dyDescent="0.25">
      <c r="A45">
        <v>39</v>
      </c>
      <c r="B45" s="11">
        <v>26</v>
      </c>
      <c r="Y45">
        <v>39</v>
      </c>
      <c r="AA45" s="11">
        <v>26</v>
      </c>
    </row>
    <row r="46" spans="1:31" x14ac:dyDescent="0.25">
      <c r="A46">
        <v>40</v>
      </c>
      <c r="B46" s="11">
        <v>100</v>
      </c>
      <c r="AC46">
        <v>40</v>
      </c>
      <c r="AE46" s="11">
        <v>100</v>
      </c>
    </row>
    <row r="47" spans="1:31" x14ac:dyDescent="0.25">
      <c r="A47">
        <v>41</v>
      </c>
      <c r="C47" s="11">
        <v>200</v>
      </c>
      <c r="M47">
        <v>41</v>
      </c>
      <c r="N47" s="11">
        <v>200</v>
      </c>
    </row>
    <row r="48" spans="1:31" x14ac:dyDescent="0.25">
      <c r="A48">
        <v>42</v>
      </c>
      <c r="B48" s="11">
        <v>4</v>
      </c>
      <c r="C48" s="11">
        <v>100</v>
      </c>
      <c r="M48">
        <v>42</v>
      </c>
      <c r="N48" s="11">
        <v>100</v>
      </c>
      <c r="Q48">
        <v>42</v>
      </c>
      <c r="S48" s="11">
        <v>4</v>
      </c>
    </row>
    <row r="49" spans="1:31" x14ac:dyDescent="0.25">
      <c r="A49">
        <v>43</v>
      </c>
      <c r="C49" s="11">
        <v>200</v>
      </c>
      <c r="M49">
        <v>43</v>
      </c>
      <c r="N49" s="11">
        <v>200</v>
      </c>
    </row>
    <row r="50" spans="1:31" x14ac:dyDescent="0.25">
      <c r="A50">
        <v>44</v>
      </c>
      <c r="B50" s="11">
        <v>2</v>
      </c>
      <c r="Q50">
        <v>44</v>
      </c>
      <c r="S50" s="11">
        <v>2</v>
      </c>
    </row>
    <row r="51" spans="1:31" x14ac:dyDescent="0.25">
      <c r="A51">
        <v>45</v>
      </c>
      <c r="B51" s="11">
        <v>25</v>
      </c>
      <c r="U51">
        <v>45</v>
      </c>
      <c r="W51" s="11">
        <v>25</v>
      </c>
    </row>
    <row r="52" spans="1:31" x14ac:dyDescent="0.25">
      <c r="A52">
        <v>46</v>
      </c>
      <c r="B52" s="11">
        <v>15</v>
      </c>
      <c r="Q52">
        <v>46</v>
      </c>
      <c r="S52" s="11">
        <v>15</v>
      </c>
    </row>
    <row r="53" spans="1:31" x14ac:dyDescent="0.25">
      <c r="A53">
        <v>47</v>
      </c>
      <c r="B53" s="11">
        <v>94</v>
      </c>
      <c r="AC53">
        <v>47</v>
      </c>
      <c r="AE53" s="11">
        <v>94</v>
      </c>
    </row>
    <row r="54" spans="1:31" x14ac:dyDescent="0.25">
      <c r="A54">
        <v>48</v>
      </c>
      <c r="C54" s="11">
        <v>100</v>
      </c>
      <c r="M54">
        <v>48</v>
      </c>
      <c r="N54" s="11">
        <v>100</v>
      </c>
    </row>
    <row r="55" spans="1:31" x14ac:dyDescent="0.25">
      <c r="A55">
        <v>49</v>
      </c>
      <c r="C55" s="11">
        <v>100</v>
      </c>
      <c r="M55">
        <v>49</v>
      </c>
      <c r="N55" s="11">
        <v>100</v>
      </c>
    </row>
    <row r="56" spans="1:31" x14ac:dyDescent="0.25">
      <c r="A56">
        <v>50</v>
      </c>
      <c r="C56" s="11">
        <v>6</v>
      </c>
      <c r="Q56">
        <v>50</v>
      </c>
      <c r="R56" s="11">
        <v>6</v>
      </c>
    </row>
    <row r="57" spans="1:31" x14ac:dyDescent="0.25">
      <c r="A57">
        <v>51</v>
      </c>
      <c r="B57" s="11">
        <v>63</v>
      </c>
      <c r="Y57">
        <v>51</v>
      </c>
      <c r="AA57" s="11">
        <v>63</v>
      </c>
    </row>
    <row r="58" spans="1:31" x14ac:dyDescent="0.25">
      <c r="A58">
        <v>52</v>
      </c>
      <c r="B58" s="11">
        <v>2</v>
      </c>
      <c r="C58" s="11">
        <v>110</v>
      </c>
      <c r="M58">
        <v>52</v>
      </c>
      <c r="N58" s="11">
        <v>110</v>
      </c>
      <c r="Q58">
        <v>52</v>
      </c>
      <c r="S58" s="11">
        <v>2</v>
      </c>
    </row>
    <row r="59" spans="1:31" x14ac:dyDescent="0.25">
      <c r="A59">
        <v>53</v>
      </c>
      <c r="B59" s="11">
        <v>90</v>
      </c>
      <c r="E59">
        <v>53</v>
      </c>
      <c r="G59" s="11">
        <v>90</v>
      </c>
    </row>
    <row r="60" spans="1:31" x14ac:dyDescent="0.25">
      <c r="A60">
        <v>54</v>
      </c>
      <c r="B60" s="11">
        <v>2</v>
      </c>
      <c r="C60" s="11">
        <v>1118</v>
      </c>
      <c r="I60">
        <v>54</v>
      </c>
      <c r="J60" s="11">
        <v>1118</v>
      </c>
      <c r="Q60">
        <v>54</v>
      </c>
      <c r="S60" s="11">
        <v>2</v>
      </c>
    </row>
    <row r="61" spans="1:31" x14ac:dyDescent="0.25">
      <c r="A61">
        <v>55</v>
      </c>
      <c r="C61" s="11">
        <v>100</v>
      </c>
      <c r="M61">
        <v>55</v>
      </c>
      <c r="N61" s="11">
        <v>100</v>
      </c>
    </row>
    <row r="62" spans="1:31" x14ac:dyDescent="0.25">
      <c r="A62">
        <v>56</v>
      </c>
      <c r="C62" s="11">
        <v>200</v>
      </c>
      <c r="M62">
        <v>56</v>
      </c>
      <c r="N62" s="11">
        <v>200</v>
      </c>
    </row>
    <row r="63" spans="1:31" x14ac:dyDescent="0.25">
      <c r="A63">
        <v>57</v>
      </c>
      <c r="B63" s="11">
        <v>45.5</v>
      </c>
      <c r="Y63">
        <v>54</v>
      </c>
      <c r="AA63" s="11">
        <v>45.5</v>
      </c>
    </row>
    <row r="64" spans="1:31" x14ac:dyDescent="0.25">
      <c r="A64">
        <v>58</v>
      </c>
      <c r="C64" s="11">
        <v>80</v>
      </c>
      <c r="M64">
        <v>58</v>
      </c>
      <c r="N64" s="11">
        <v>80</v>
      </c>
    </row>
    <row r="65" spans="1:39" x14ac:dyDescent="0.25">
      <c r="A65">
        <v>59</v>
      </c>
      <c r="C65" s="11">
        <v>80</v>
      </c>
      <c r="M65">
        <v>59</v>
      </c>
      <c r="N65" s="11">
        <v>80</v>
      </c>
    </row>
    <row r="66" spans="1:39" x14ac:dyDescent="0.25">
      <c r="A66">
        <v>60</v>
      </c>
      <c r="C66" s="11">
        <v>80</v>
      </c>
      <c r="M66">
        <v>60</v>
      </c>
      <c r="N66" s="11">
        <v>80</v>
      </c>
    </row>
    <row r="67" spans="1:39" x14ac:dyDescent="0.25">
      <c r="A67">
        <v>61</v>
      </c>
      <c r="C67" s="11">
        <v>110</v>
      </c>
      <c r="M67">
        <v>61</v>
      </c>
      <c r="N67" s="11">
        <v>110</v>
      </c>
    </row>
    <row r="68" spans="1:39" x14ac:dyDescent="0.25">
      <c r="A68">
        <v>62</v>
      </c>
      <c r="C68" s="11">
        <v>202</v>
      </c>
      <c r="M68">
        <v>62</v>
      </c>
      <c r="N68" s="11">
        <v>202</v>
      </c>
    </row>
    <row r="69" spans="1:39" x14ac:dyDescent="0.25">
      <c r="A69">
        <v>63</v>
      </c>
      <c r="C69" s="11">
        <v>200</v>
      </c>
      <c r="M69">
        <v>63</v>
      </c>
      <c r="N69" s="11">
        <v>200</v>
      </c>
    </row>
    <row r="70" spans="1:39" x14ac:dyDescent="0.25">
      <c r="A70">
        <v>64</v>
      </c>
      <c r="B70" s="11">
        <v>15</v>
      </c>
      <c r="U70">
        <v>64</v>
      </c>
      <c r="W70" s="11">
        <v>15</v>
      </c>
    </row>
    <row r="71" spans="1:39" x14ac:dyDescent="0.25">
      <c r="A71">
        <v>65</v>
      </c>
      <c r="B71" s="11">
        <v>10</v>
      </c>
      <c r="U71">
        <v>65</v>
      </c>
      <c r="W71" s="11">
        <v>10</v>
      </c>
    </row>
    <row r="72" spans="1:39" x14ac:dyDescent="0.25">
      <c r="A72">
        <v>66</v>
      </c>
      <c r="B72" s="11">
        <v>213.1</v>
      </c>
      <c r="Y72">
        <v>66</v>
      </c>
      <c r="AA72" s="11">
        <v>213.1</v>
      </c>
    </row>
    <row r="73" spans="1:39" x14ac:dyDescent="0.25">
      <c r="A73">
        <v>67</v>
      </c>
      <c r="B73" s="11">
        <v>75</v>
      </c>
      <c r="AK73">
        <v>67</v>
      </c>
      <c r="AM73" s="11">
        <v>75</v>
      </c>
    </row>
    <row r="74" spans="1:39" x14ac:dyDescent="0.25">
      <c r="A74">
        <v>68</v>
      </c>
      <c r="B74" s="11">
        <v>30</v>
      </c>
      <c r="AC74">
        <v>68</v>
      </c>
      <c r="AE74" s="11">
        <v>30</v>
      </c>
    </row>
    <row r="75" spans="1:39" x14ac:dyDescent="0.25">
      <c r="A75">
        <v>69</v>
      </c>
      <c r="B75" s="11">
        <v>13389</v>
      </c>
      <c r="E75">
        <v>69</v>
      </c>
      <c r="G75" s="11">
        <v>13389</v>
      </c>
    </row>
    <row r="76" spans="1:39" x14ac:dyDescent="0.25">
      <c r="A76">
        <v>69</v>
      </c>
      <c r="B76" s="11">
        <v>44</v>
      </c>
      <c r="AG76">
        <v>69</v>
      </c>
      <c r="AI76" s="11">
        <v>44</v>
      </c>
    </row>
    <row r="77" spans="1:39" x14ac:dyDescent="0.25">
      <c r="A77">
        <v>70</v>
      </c>
      <c r="C77" s="11">
        <v>100</v>
      </c>
      <c r="M77">
        <v>70</v>
      </c>
      <c r="N77" s="11">
        <v>100</v>
      </c>
    </row>
    <row r="78" spans="1:39" x14ac:dyDescent="0.25">
      <c r="A78">
        <v>71</v>
      </c>
      <c r="C78" s="11">
        <v>100</v>
      </c>
      <c r="M78">
        <v>71</v>
      </c>
      <c r="N78" s="11">
        <v>100</v>
      </c>
    </row>
    <row r="79" spans="1:39" x14ac:dyDescent="0.25">
      <c r="A79">
        <v>72</v>
      </c>
      <c r="C79" s="11">
        <v>180</v>
      </c>
      <c r="M79">
        <v>72</v>
      </c>
      <c r="N79" s="11">
        <v>180</v>
      </c>
    </row>
    <row r="80" spans="1:39" x14ac:dyDescent="0.25">
      <c r="A80">
        <v>73</v>
      </c>
      <c r="B80" s="11">
        <v>5</v>
      </c>
      <c r="Q80">
        <v>73</v>
      </c>
      <c r="S80" s="11">
        <v>5</v>
      </c>
    </row>
    <row r="81" spans="1:31" x14ac:dyDescent="0.25">
      <c r="A81">
        <v>74</v>
      </c>
      <c r="C81" s="11">
        <v>100</v>
      </c>
      <c r="M81">
        <v>74</v>
      </c>
      <c r="N81" s="11">
        <v>100</v>
      </c>
    </row>
    <row r="82" spans="1:31" x14ac:dyDescent="0.25">
      <c r="A82">
        <v>75</v>
      </c>
      <c r="C82" s="11">
        <v>100</v>
      </c>
      <c r="M82">
        <v>75</v>
      </c>
      <c r="N82" s="11">
        <v>100</v>
      </c>
    </row>
    <row r="83" spans="1:31" x14ac:dyDescent="0.25">
      <c r="A83">
        <v>76</v>
      </c>
      <c r="B83" s="11">
        <v>50</v>
      </c>
      <c r="Q83">
        <v>76</v>
      </c>
      <c r="S83" s="11">
        <v>50</v>
      </c>
    </row>
    <row r="84" spans="1:31" x14ac:dyDescent="0.25">
      <c r="A84">
        <v>77</v>
      </c>
      <c r="B84" s="11">
        <v>3.5</v>
      </c>
      <c r="Q84">
        <v>77</v>
      </c>
      <c r="S84" s="11">
        <v>3.5</v>
      </c>
    </row>
    <row r="85" spans="1:31" x14ac:dyDescent="0.25">
      <c r="A85">
        <v>78</v>
      </c>
      <c r="C85" s="11">
        <v>100</v>
      </c>
      <c r="M85">
        <v>78</v>
      </c>
      <c r="N85" s="11">
        <v>100</v>
      </c>
    </row>
    <row r="86" spans="1:31" x14ac:dyDescent="0.25">
      <c r="A86">
        <v>79</v>
      </c>
      <c r="C86" s="11">
        <v>205</v>
      </c>
      <c r="M86">
        <v>79</v>
      </c>
      <c r="N86" s="11">
        <v>205</v>
      </c>
    </row>
    <row r="87" spans="1:31" x14ac:dyDescent="0.25">
      <c r="A87">
        <v>80</v>
      </c>
      <c r="C87" s="11">
        <v>100</v>
      </c>
      <c r="M87">
        <v>80</v>
      </c>
      <c r="N87" s="11">
        <v>100</v>
      </c>
    </row>
    <row r="88" spans="1:31" x14ac:dyDescent="0.25">
      <c r="A88">
        <v>81</v>
      </c>
      <c r="B88" s="11">
        <v>5.5</v>
      </c>
      <c r="Q88">
        <v>81</v>
      </c>
      <c r="S88" s="11">
        <v>5.5</v>
      </c>
    </row>
    <row r="89" spans="1:31" x14ac:dyDescent="0.25">
      <c r="A89">
        <v>82</v>
      </c>
      <c r="B89" s="11">
        <v>55.4</v>
      </c>
      <c r="Y89">
        <v>82</v>
      </c>
      <c r="AA89" s="11">
        <v>55.4</v>
      </c>
    </row>
    <row r="90" spans="1:31" x14ac:dyDescent="0.25">
      <c r="A90">
        <v>83</v>
      </c>
      <c r="B90" s="11">
        <v>142</v>
      </c>
      <c r="E90">
        <v>83</v>
      </c>
      <c r="G90" s="11">
        <v>142</v>
      </c>
    </row>
    <row r="91" spans="1:31" x14ac:dyDescent="0.25">
      <c r="A91">
        <v>84</v>
      </c>
      <c r="B91" s="11">
        <v>99</v>
      </c>
      <c r="AC91">
        <v>84</v>
      </c>
      <c r="AE91" s="11">
        <v>99</v>
      </c>
    </row>
    <row r="92" spans="1:31" x14ac:dyDescent="0.25">
      <c r="A92">
        <v>85</v>
      </c>
      <c r="C92" s="11">
        <v>100</v>
      </c>
      <c r="M92">
        <v>85</v>
      </c>
      <c r="N92" s="11">
        <v>100</v>
      </c>
    </row>
    <row r="93" spans="1:31" x14ac:dyDescent="0.25">
      <c r="A93">
        <v>86</v>
      </c>
      <c r="C93" s="11">
        <v>180</v>
      </c>
      <c r="M93">
        <v>86</v>
      </c>
      <c r="N93" s="11">
        <v>180</v>
      </c>
    </row>
    <row r="94" spans="1:31" x14ac:dyDescent="0.25">
      <c r="A94">
        <v>87</v>
      </c>
      <c r="C94" s="11">
        <v>220</v>
      </c>
      <c r="M94">
        <v>87</v>
      </c>
      <c r="N94" s="11">
        <v>220</v>
      </c>
    </row>
    <row r="95" spans="1:31" x14ac:dyDescent="0.25">
      <c r="A95">
        <v>88</v>
      </c>
      <c r="C95" s="11">
        <v>110</v>
      </c>
      <c r="M95">
        <v>88</v>
      </c>
      <c r="N95" s="11">
        <v>110</v>
      </c>
    </row>
    <row r="96" spans="1:31" x14ac:dyDescent="0.25">
      <c r="A96">
        <v>89</v>
      </c>
      <c r="B96" s="11">
        <v>4</v>
      </c>
      <c r="Q96">
        <v>89</v>
      </c>
      <c r="S96" s="11">
        <v>4</v>
      </c>
    </row>
    <row r="97" spans="1:31" x14ac:dyDescent="0.25">
      <c r="A97">
        <v>90</v>
      </c>
      <c r="B97" s="11">
        <v>55</v>
      </c>
      <c r="AC97">
        <v>90</v>
      </c>
      <c r="AE97" s="11">
        <v>55</v>
      </c>
    </row>
    <row r="98" spans="1:31" x14ac:dyDescent="0.25">
      <c r="A98">
        <v>91</v>
      </c>
      <c r="B98" s="11">
        <v>26</v>
      </c>
      <c r="U98">
        <v>91</v>
      </c>
      <c r="W98" s="11">
        <v>26</v>
      </c>
    </row>
    <row r="99" spans="1:31" x14ac:dyDescent="0.25">
      <c r="A99">
        <v>92</v>
      </c>
      <c r="C99" s="11">
        <v>180</v>
      </c>
      <c r="M99">
        <v>92</v>
      </c>
      <c r="N99" s="11">
        <v>180</v>
      </c>
    </row>
    <row r="100" spans="1:31" x14ac:dyDescent="0.25">
      <c r="A100">
        <v>93</v>
      </c>
      <c r="C100" s="11">
        <v>200</v>
      </c>
      <c r="M100">
        <v>93</v>
      </c>
      <c r="N100" s="11">
        <v>200</v>
      </c>
    </row>
    <row r="101" spans="1:31" x14ac:dyDescent="0.25">
      <c r="A101">
        <v>94</v>
      </c>
      <c r="B101" s="11">
        <v>2</v>
      </c>
      <c r="Q101">
        <v>94</v>
      </c>
      <c r="S101" s="11">
        <v>2</v>
      </c>
    </row>
    <row r="102" spans="1:31" x14ac:dyDescent="0.25">
      <c r="A102">
        <v>95</v>
      </c>
      <c r="B102" s="11">
        <v>6</v>
      </c>
      <c r="U102">
        <v>95</v>
      </c>
      <c r="W102" s="11">
        <v>6</v>
      </c>
    </row>
    <row r="103" spans="1:31" x14ac:dyDescent="0.25">
      <c r="A103">
        <v>96</v>
      </c>
      <c r="B103" s="11">
        <v>66</v>
      </c>
      <c r="AC103">
        <v>96</v>
      </c>
      <c r="AE103" s="11">
        <v>66</v>
      </c>
    </row>
    <row r="104" spans="1:31" x14ac:dyDescent="0.25">
      <c r="A104">
        <v>97</v>
      </c>
      <c r="B104" s="11">
        <v>909.5</v>
      </c>
      <c r="E104">
        <v>97</v>
      </c>
      <c r="G104" s="11">
        <v>909.5</v>
      </c>
    </row>
    <row r="105" spans="1:31" x14ac:dyDescent="0.25">
      <c r="A105">
        <v>97</v>
      </c>
      <c r="B105" s="11">
        <v>2</v>
      </c>
      <c r="Q105">
        <v>97</v>
      </c>
      <c r="S105" s="11">
        <v>2</v>
      </c>
    </row>
    <row r="106" spans="1:31" x14ac:dyDescent="0.25">
      <c r="A106">
        <v>98</v>
      </c>
      <c r="B106" s="11">
        <v>6.5</v>
      </c>
      <c r="C106" s="11">
        <v>474</v>
      </c>
      <c r="M106">
        <v>98</v>
      </c>
      <c r="N106" s="11">
        <v>474</v>
      </c>
      <c r="Q106">
        <v>98</v>
      </c>
      <c r="S106" s="11">
        <v>6.5</v>
      </c>
    </row>
    <row r="107" spans="1:31" x14ac:dyDescent="0.25">
      <c r="A107">
        <v>99</v>
      </c>
      <c r="B107" s="11">
        <v>370</v>
      </c>
      <c r="E107">
        <v>99</v>
      </c>
      <c r="G107" s="11">
        <v>370</v>
      </c>
    </row>
    <row r="108" spans="1:31" x14ac:dyDescent="0.25">
      <c r="A108">
        <v>100</v>
      </c>
      <c r="B108" s="11">
        <v>2</v>
      </c>
      <c r="C108" s="11">
        <v>255</v>
      </c>
      <c r="M108">
        <v>100</v>
      </c>
      <c r="N108" s="11">
        <v>255</v>
      </c>
      <c r="Q108">
        <v>100</v>
      </c>
      <c r="S108" s="11">
        <v>2</v>
      </c>
    </row>
    <row r="109" spans="1:31" x14ac:dyDescent="0.25">
      <c r="A109">
        <v>101</v>
      </c>
      <c r="C109" s="11">
        <v>75</v>
      </c>
      <c r="M109">
        <v>101</v>
      </c>
      <c r="N109" s="11">
        <v>75</v>
      </c>
    </row>
    <row r="110" spans="1:31" x14ac:dyDescent="0.25">
      <c r="A110">
        <v>102</v>
      </c>
      <c r="C110" s="11">
        <v>75</v>
      </c>
      <c r="M110">
        <v>102</v>
      </c>
      <c r="N110" s="11">
        <v>75</v>
      </c>
    </row>
    <row r="111" spans="1:31" x14ac:dyDescent="0.25">
      <c r="A111">
        <v>103</v>
      </c>
      <c r="C111" s="11">
        <v>80</v>
      </c>
      <c r="M111">
        <v>103</v>
      </c>
      <c r="N111" s="11">
        <v>80</v>
      </c>
    </row>
    <row r="112" spans="1:31" x14ac:dyDescent="0.25">
      <c r="A112">
        <v>104</v>
      </c>
      <c r="C112" s="11">
        <v>80</v>
      </c>
      <c r="M112">
        <v>104</v>
      </c>
      <c r="N112" s="11">
        <v>80</v>
      </c>
    </row>
    <row r="113" spans="1:39" x14ac:dyDescent="0.25">
      <c r="A113">
        <v>105</v>
      </c>
      <c r="C113" s="11">
        <v>80</v>
      </c>
      <c r="M113">
        <v>105</v>
      </c>
      <c r="N113" s="11">
        <v>80</v>
      </c>
    </row>
    <row r="114" spans="1:39" x14ac:dyDescent="0.25">
      <c r="A114">
        <v>106</v>
      </c>
      <c r="B114" s="11">
        <v>2</v>
      </c>
      <c r="C114" s="11">
        <v>693</v>
      </c>
      <c r="I114">
        <v>106</v>
      </c>
      <c r="J114" s="11">
        <v>693</v>
      </c>
      <c r="Q114">
        <v>106</v>
      </c>
      <c r="S114" s="11">
        <v>2</v>
      </c>
    </row>
    <row r="115" spans="1:39" x14ac:dyDescent="0.25">
      <c r="A115">
        <v>107</v>
      </c>
      <c r="C115" s="11">
        <v>110</v>
      </c>
      <c r="M115">
        <v>107</v>
      </c>
      <c r="N115" s="11">
        <v>110</v>
      </c>
    </row>
    <row r="116" spans="1:39" x14ac:dyDescent="0.25">
      <c r="A116">
        <v>108</v>
      </c>
      <c r="C116" s="11">
        <v>110</v>
      </c>
      <c r="M116">
        <v>108</v>
      </c>
      <c r="N116" s="11">
        <v>110</v>
      </c>
    </row>
    <row r="117" spans="1:39" x14ac:dyDescent="0.25">
      <c r="A117">
        <v>109</v>
      </c>
      <c r="C117" s="11">
        <v>5</v>
      </c>
      <c r="Q117">
        <v>109</v>
      </c>
      <c r="R117" s="11">
        <v>5</v>
      </c>
    </row>
    <row r="118" spans="1:39" x14ac:dyDescent="0.25">
      <c r="A118">
        <v>110</v>
      </c>
      <c r="B118" s="11">
        <v>905</v>
      </c>
      <c r="E118">
        <v>110</v>
      </c>
      <c r="G118" s="11">
        <v>905</v>
      </c>
    </row>
    <row r="119" spans="1:39" x14ac:dyDescent="0.25">
      <c r="A119">
        <v>110</v>
      </c>
      <c r="B119" s="11">
        <v>2</v>
      </c>
      <c r="Q119">
        <v>110</v>
      </c>
      <c r="S119" s="11">
        <v>2</v>
      </c>
    </row>
    <row r="120" spans="1:39" x14ac:dyDescent="0.25">
      <c r="A120">
        <v>111</v>
      </c>
      <c r="C120" s="11">
        <v>75</v>
      </c>
      <c r="M120">
        <v>111</v>
      </c>
      <c r="N120" s="11">
        <v>75</v>
      </c>
    </row>
    <row r="121" spans="1:39" x14ac:dyDescent="0.25">
      <c r="A121">
        <v>112</v>
      </c>
      <c r="M121">
        <v>112</v>
      </c>
    </row>
    <row r="122" spans="1:39" x14ac:dyDescent="0.25">
      <c r="A122">
        <v>113</v>
      </c>
      <c r="C122" s="11">
        <v>75</v>
      </c>
      <c r="M122">
        <v>113</v>
      </c>
      <c r="N122" s="11">
        <v>75</v>
      </c>
    </row>
    <row r="123" spans="1:39" x14ac:dyDescent="0.25">
      <c r="A123">
        <v>114</v>
      </c>
      <c r="C123" s="11">
        <v>100</v>
      </c>
      <c r="M123">
        <v>114</v>
      </c>
      <c r="N123" s="11">
        <v>100</v>
      </c>
    </row>
    <row r="124" spans="1:39" x14ac:dyDescent="0.25">
      <c r="A124">
        <v>115</v>
      </c>
      <c r="B124" s="11">
        <v>3</v>
      </c>
      <c r="Q124">
        <v>115</v>
      </c>
      <c r="S124" s="11">
        <v>3</v>
      </c>
    </row>
    <row r="125" spans="1:39" x14ac:dyDescent="0.25">
      <c r="A125">
        <v>116</v>
      </c>
      <c r="B125" s="11">
        <v>180.2</v>
      </c>
      <c r="Y125">
        <v>116</v>
      </c>
      <c r="AA125" s="11">
        <v>180.2</v>
      </c>
    </row>
    <row r="126" spans="1:39" x14ac:dyDescent="0.25">
      <c r="A126">
        <v>117</v>
      </c>
      <c r="B126" s="11">
        <v>135</v>
      </c>
      <c r="AK126">
        <v>117</v>
      </c>
      <c r="AM126" s="11">
        <v>135</v>
      </c>
    </row>
    <row r="127" spans="1:39" x14ac:dyDescent="0.25">
      <c r="A127">
        <v>118</v>
      </c>
      <c r="C127" s="11">
        <v>110</v>
      </c>
      <c r="M127">
        <v>118</v>
      </c>
      <c r="N127" s="11">
        <v>110</v>
      </c>
    </row>
    <row r="128" spans="1:39" x14ac:dyDescent="0.25">
      <c r="A128">
        <v>119</v>
      </c>
      <c r="C128" s="11">
        <v>100</v>
      </c>
      <c r="M128">
        <v>119</v>
      </c>
      <c r="N128" s="11">
        <v>100</v>
      </c>
    </row>
    <row r="129" spans="1:31" x14ac:dyDescent="0.25">
      <c r="A129">
        <v>120</v>
      </c>
      <c r="B129" s="11">
        <v>2</v>
      </c>
      <c r="Q129">
        <v>120</v>
      </c>
      <c r="S129" s="11">
        <v>2</v>
      </c>
    </row>
    <row r="130" spans="1:31" x14ac:dyDescent="0.25">
      <c r="A130">
        <v>121</v>
      </c>
      <c r="C130" s="11">
        <v>100</v>
      </c>
      <c r="M130">
        <v>121</v>
      </c>
      <c r="N130" s="11">
        <v>100</v>
      </c>
    </row>
    <row r="131" spans="1:31" x14ac:dyDescent="0.25">
      <c r="A131">
        <v>122</v>
      </c>
      <c r="C131" s="11">
        <v>100</v>
      </c>
      <c r="M131">
        <v>122</v>
      </c>
      <c r="N131" s="11">
        <v>100</v>
      </c>
    </row>
    <row r="132" spans="1:31" x14ac:dyDescent="0.25">
      <c r="A132">
        <v>123</v>
      </c>
      <c r="B132" s="11">
        <v>3.5</v>
      </c>
      <c r="Q132">
        <v>123</v>
      </c>
      <c r="S132" s="11">
        <v>3.5</v>
      </c>
    </row>
    <row r="133" spans="1:31" x14ac:dyDescent="0.25">
      <c r="A133">
        <v>124</v>
      </c>
      <c r="C133" s="11">
        <v>1322</v>
      </c>
      <c r="I133">
        <v>124</v>
      </c>
      <c r="J133" s="11">
        <v>1322</v>
      </c>
    </row>
    <row r="134" spans="1:31" x14ac:dyDescent="0.25">
      <c r="A134">
        <v>125</v>
      </c>
      <c r="C134" s="11">
        <v>75</v>
      </c>
      <c r="M134">
        <v>125</v>
      </c>
      <c r="N134" s="11">
        <v>75</v>
      </c>
    </row>
    <row r="135" spans="1:31" x14ac:dyDescent="0.25">
      <c r="A135">
        <v>126</v>
      </c>
      <c r="C135" s="11">
        <v>75</v>
      </c>
      <c r="M135">
        <v>126</v>
      </c>
      <c r="N135" s="11">
        <v>75</v>
      </c>
    </row>
    <row r="136" spans="1:31" x14ac:dyDescent="0.25">
      <c r="A136">
        <v>127</v>
      </c>
      <c r="B136" s="11">
        <v>62</v>
      </c>
      <c r="AC136">
        <v>127</v>
      </c>
      <c r="AE136" s="11">
        <v>62</v>
      </c>
    </row>
    <row r="137" spans="1:31" x14ac:dyDescent="0.25">
      <c r="A137">
        <v>128</v>
      </c>
      <c r="C137" s="11">
        <v>265</v>
      </c>
      <c r="M137">
        <v>128</v>
      </c>
      <c r="N137" s="11">
        <v>265</v>
      </c>
    </row>
    <row r="138" spans="1:31" x14ac:dyDescent="0.25">
      <c r="A138">
        <v>129</v>
      </c>
      <c r="C138" s="11">
        <v>200</v>
      </c>
      <c r="M138">
        <v>129</v>
      </c>
      <c r="N138" s="11">
        <v>200</v>
      </c>
    </row>
    <row r="139" spans="1:31" x14ac:dyDescent="0.25">
      <c r="A139">
        <v>130</v>
      </c>
      <c r="C139" s="11">
        <v>200</v>
      </c>
      <c r="M139">
        <v>130</v>
      </c>
      <c r="N139" s="11">
        <v>200</v>
      </c>
    </row>
    <row r="140" spans="1:31" x14ac:dyDescent="0.25">
      <c r="A140">
        <v>131</v>
      </c>
      <c r="B140" s="11">
        <v>4</v>
      </c>
      <c r="Q140">
        <v>131</v>
      </c>
      <c r="S140" s="11">
        <v>4</v>
      </c>
    </row>
    <row r="141" spans="1:31" x14ac:dyDescent="0.25">
      <c r="A141">
        <v>132</v>
      </c>
      <c r="C141" s="11">
        <v>110</v>
      </c>
      <c r="M141">
        <v>132</v>
      </c>
      <c r="N141" s="11">
        <v>110</v>
      </c>
    </row>
    <row r="142" spans="1:31" x14ac:dyDescent="0.25">
      <c r="A142">
        <v>133</v>
      </c>
      <c r="B142" s="11">
        <v>25</v>
      </c>
      <c r="U142">
        <v>133</v>
      </c>
      <c r="W142" s="11">
        <v>25</v>
      </c>
    </row>
    <row r="143" spans="1:31" x14ac:dyDescent="0.25">
      <c r="A143">
        <v>134</v>
      </c>
      <c r="B143" s="11">
        <v>178.5</v>
      </c>
      <c r="Y143">
        <v>134</v>
      </c>
      <c r="AA143" s="11">
        <v>178.5</v>
      </c>
    </row>
    <row r="144" spans="1:31" x14ac:dyDescent="0.25">
      <c r="A144">
        <v>135</v>
      </c>
      <c r="B144" s="11">
        <v>47.5</v>
      </c>
      <c r="E144">
        <v>135</v>
      </c>
      <c r="G144" s="11">
        <v>47.5</v>
      </c>
    </row>
    <row r="145" spans="1:35" x14ac:dyDescent="0.25">
      <c r="A145">
        <v>136</v>
      </c>
      <c r="B145" s="11">
        <v>26</v>
      </c>
      <c r="U145">
        <v>136</v>
      </c>
      <c r="W145" s="11">
        <v>26</v>
      </c>
    </row>
    <row r="146" spans="1:35" x14ac:dyDescent="0.25">
      <c r="A146">
        <v>137</v>
      </c>
      <c r="C146" s="11">
        <v>1563</v>
      </c>
      <c r="I146">
        <v>137</v>
      </c>
      <c r="J146" s="11">
        <v>1563</v>
      </c>
    </row>
    <row r="147" spans="1:35" x14ac:dyDescent="0.25">
      <c r="A147">
        <v>138</v>
      </c>
      <c r="B147" s="11">
        <v>150</v>
      </c>
      <c r="AC147">
        <v>138</v>
      </c>
      <c r="AE147" s="11">
        <v>150</v>
      </c>
    </row>
    <row r="148" spans="1:35" x14ac:dyDescent="0.25">
      <c r="A148">
        <v>139</v>
      </c>
      <c r="B148" s="11">
        <v>10</v>
      </c>
      <c r="Y148">
        <v>139</v>
      </c>
      <c r="AA148" s="11">
        <v>10</v>
      </c>
    </row>
    <row r="149" spans="1:35" x14ac:dyDescent="0.25">
      <c r="A149">
        <v>140</v>
      </c>
      <c r="C149" s="11">
        <v>110</v>
      </c>
      <c r="M149">
        <v>140</v>
      </c>
      <c r="N149" s="11">
        <v>110</v>
      </c>
    </row>
    <row r="150" spans="1:35" x14ac:dyDescent="0.25">
      <c r="A150">
        <v>141</v>
      </c>
      <c r="C150" s="11">
        <v>80</v>
      </c>
      <c r="M150">
        <v>141</v>
      </c>
      <c r="N150" s="11">
        <v>80</v>
      </c>
    </row>
    <row r="151" spans="1:35" x14ac:dyDescent="0.25">
      <c r="A151">
        <v>142</v>
      </c>
      <c r="B151" s="11">
        <v>52.6</v>
      </c>
      <c r="Y151">
        <v>142</v>
      </c>
      <c r="AA151" s="11">
        <v>52.6</v>
      </c>
    </row>
    <row r="152" spans="1:35" x14ac:dyDescent="0.25">
      <c r="A152">
        <v>143</v>
      </c>
      <c r="C152" s="11">
        <v>100</v>
      </c>
      <c r="M152">
        <v>143</v>
      </c>
      <c r="N152" s="11">
        <v>100</v>
      </c>
    </row>
    <row r="153" spans="1:35" x14ac:dyDescent="0.25">
      <c r="A153">
        <v>144</v>
      </c>
      <c r="C153" s="11">
        <v>100</v>
      </c>
      <c r="M153">
        <v>144</v>
      </c>
      <c r="N153" s="11">
        <v>100</v>
      </c>
    </row>
    <row r="154" spans="1:35" x14ac:dyDescent="0.25">
      <c r="A154">
        <v>145</v>
      </c>
      <c r="C154" s="11">
        <v>100</v>
      </c>
      <c r="M154">
        <v>145</v>
      </c>
      <c r="N154" s="11">
        <v>100</v>
      </c>
    </row>
    <row r="155" spans="1:35" x14ac:dyDescent="0.25">
      <c r="A155">
        <v>146</v>
      </c>
      <c r="B155" s="11">
        <v>4</v>
      </c>
      <c r="U155">
        <v>146</v>
      </c>
      <c r="W155" s="11">
        <v>4</v>
      </c>
    </row>
    <row r="156" spans="1:35" x14ac:dyDescent="0.25">
      <c r="A156">
        <v>147</v>
      </c>
      <c r="C156" s="11">
        <v>5</v>
      </c>
      <c r="Q156">
        <v>147</v>
      </c>
      <c r="R156" s="11">
        <v>5</v>
      </c>
    </row>
    <row r="157" spans="1:35" x14ac:dyDescent="0.25">
      <c r="A157">
        <v>148</v>
      </c>
      <c r="B157" s="11">
        <v>90</v>
      </c>
      <c r="E157">
        <v>148</v>
      </c>
      <c r="G157" s="11">
        <v>90</v>
      </c>
    </row>
    <row r="158" spans="1:35" x14ac:dyDescent="0.25">
      <c r="A158">
        <v>149</v>
      </c>
      <c r="B158" s="11">
        <v>87</v>
      </c>
      <c r="AC158">
        <v>149</v>
      </c>
      <c r="AE158" s="11">
        <v>87</v>
      </c>
    </row>
    <row r="159" spans="1:35" x14ac:dyDescent="0.25">
      <c r="A159">
        <v>150</v>
      </c>
      <c r="B159" s="11">
        <v>3818</v>
      </c>
      <c r="E159">
        <v>150</v>
      </c>
      <c r="G159" s="11">
        <v>3818</v>
      </c>
    </row>
    <row r="160" spans="1:35" x14ac:dyDescent="0.25">
      <c r="A160">
        <v>151</v>
      </c>
      <c r="B160" s="11">
        <v>42</v>
      </c>
      <c r="AG160">
        <v>151</v>
      </c>
      <c r="AI160" s="11">
        <v>42</v>
      </c>
    </row>
    <row r="161" spans="1:39" x14ac:dyDescent="0.25">
      <c r="A161">
        <v>152</v>
      </c>
      <c r="C161" s="11">
        <v>100</v>
      </c>
      <c r="M161">
        <v>152</v>
      </c>
      <c r="N161" s="11">
        <v>100</v>
      </c>
    </row>
    <row r="162" spans="1:39" x14ac:dyDescent="0.25">
      <c r="A162">
        <v>153</v>
      </c>
      <c r="C162" s="11">
        <v>110</v>
      </c>
      <c r="M162">
        <v>153</v>
      </c>
      <c r="N162" s="11">
        <v>110</v>
      </c>
    </row>
    <row r="163" spans="1:39" x14ac:dyDescent="0.25">
      <c r="A163">
        <v>154</v>
      </c>
      <c r="C163" s="11">
        <v>110</v>
      </c>
      <c r="M163">
        <v>154</v>
      </c>
      <c r="N163" s="11">
        <v>110</v>
      </c>
    </row>
    <row r="164" spans="1:39" x14ac:dyDescent="0.25">
      <c r="A164">
        <v>155</v>
      </c>
      <c r="B164" s="11">
        <v>85</v>
      </c>
      <c r="AC164">
        <v>155</v>
      </c>
      <c r="AE164" s="11">
        <v>85</v>
      </c>
    </row>
    <row r="165" spans="1:39" x14ac:dyDescent="0.25">
      <c r="A165">
        <v>156</v>
      </c>
      <c r="B165" s="11">
        <v>25</v>
      </c>
      <c r="Y165">
        <v>156</v>
      </c>
      <c r="AA165" s="11">
        <v>25</v>
      </c>
    </row>
    <row r="166" spans="1:39" x14ac:dyDescent="0.25">
      <c r="A166">
        <v>157</v>
      </c>
      <c r="B166" s="11">
        <v>72.5</v>
      </c>
      <c r="AK166">
        <v>157</v>
      </c>
      <c r="AM166" s="11">
        <v>72.5</v>
      </c>
    </row>
    <row r="167" spans="1:39" x14ac:dyDescent="0.25">
      <c r="A167">
        <v>158</v>
      </c>
      <c r="C167" s="11">
        <v>110</v>
      </c>
      <c r="M167">
        <v>158</v>
      </c>
      <c r="N167" s="11">
        <v>110</v>
      </c>
    </row>
    <row r="168" spans="1:39" x14ac:dyDescent="0.25">
      <c r="A168">
        <v>159</v>
      </c>
      <c r="C168" s="11">
        <v>100</v>
      </c>
      <c r="M168">
        <v>159</v>
      </c>
      <c r="N168" s="11">
        <v>100</v>
      </c>
    </row>
    <row r="169" spans="1:39" x14ac:dyDescent="0.25">
      <c r="A169">
        <v>160</v>
      </c>
      <c r="C169" s="11">
        <v>190</v>
      </c>
      <c r="M169">
        <v>160</v>
      </c>
      <c r="N169" s="11">
        <v>190</v>
      </c>
    </row>
    <row r="170" spans="1:39" x14ac:dyDescent="0.25">
      <c r="A170">
        <v>161</v>
      </c>
      <c r="C170" s="11">
        <v>120</v>
      </c>
      <c r="M170">
        <v>161</v>
      </c>
      <c r="N170" s="11">
        <v>120</v>
      </c>
    </row>
    <row r="171" spans="1:39" x14ac:dyDescent="0.25">
      <c r="A171">
        <v>162</v>
      </c>
      <c r="B171" s="11">
        <v>6.7</v>
      </c>
      <c r="Q171">
        <v>162</v>
      </c>
      <c r="S171" s="11">
        <v>6.7</v>
      </c>
    </row>
    <row r="172" spans="1:39" x14ac:dyDescent="0.25">
      <c r="A172">
        <v>163</v>
      </c>
      <c r="B172" s="11">
        <v>12</v>
      </c>
      <c r="U172">
        <v>163</v>
      </c>
      <c r="W172" s="11">
        <v>12</v>
      </c>
    </row>
    <row r="173" spans="1:39" x14ac:dyDescent="0.25">
      <c r="A173">
        <v>164</v>
      </c>
      <c r="B173" s="11">
        <v>30</v>
      </c>
      <c r="U173">
        <v>164</v>
      </c>
      <c r="W173" s="11">
        <v>30</v>
      </c>
    </row>
    <row r="174" spans="1:39" x14ac:dyDescent="0.25">
      <c r="A174">
        <v>165</v>
      </c>
      <c r="B174" s="11">
        <v>95</v>
      </c>
      <c r="E174">
        <v>165</v>
      </c>
      <c r="G174" s="11">
        <v>95</v>
      </c>
    </row>
    <row r="175" spans="1:39" x14ac:dyDescent="0.25">
      <c r="A175">
        <v>166</v>
      </c>
      <c r="C175" s="11">
        <v>3483</v>
      </c>
      <c r="I175">
        <v>133</v>
      </c>
      <c r="J175" s="11">
        <v>3483</v>
      </c>
    </row>
    <row r="176" spans="1:39" x14ac:dyDescent="0.25">
      <c r="A176">
        <v>167</v>
      </c>
      <c r="B176" s="11">
        <v>281.5</v>
      </c>
      <c r="E176">
        <v>167</v>
      </c>
      <c r="G176" s="11">
        <v>281.5</v>
      </c>
    </row>
    <row r="177" spans="1:59" x14ac:dyDescent="0.25">
      <c r="A177">
        <v>168</v>
      </c>
      <c r="C177" s="11">
        <v>1192</v>
      </c>
      <c r="I177">
        <v>168</v>
      </c>
      <c r="J177" s="11">
        <v>1192</v>
      </c>
    </row>
    <row r="178" spans="1:59" x14ac:dyDescent="0.25">
      <c r="A178">
        <v>169</v>
      </c>
      <c r="C178" s="11">
        <v>75</v>
      </c>
      <c r="M178">
        <v>169</v>
      </c>
      <c r="N178" s="11">
        <v>75</v>
      </c>
    </row>
    <row r="179" spans="1:59" x14ac:dyDescent="0.25">
      <c r="A179">
        <v>170</v>
      </c>
      <c r="B179" s="11">
        <v>25</v>
      </c>
      <c r="U179">
        <v>170</v>
      </c>
      <c r="W179" s="11">
        <v>25</v>
      </c>
    </row>
    <row r="180" spans="1:59" x14ac:dyDescent="0.25">
      <c r="A180">
        <v>171</v>
      </c>
      <c r="B180" s="11">
        <v>6</v>
      </c>
      <c r="Q180">
        <v>171</v>
      </c>
      <c r="S180" s="11">
        <v>6</v>
      </c>
    </row>
    <row r="181" spans="1:59" x14ac:dyDescent="0.25">
      <c r="A181">
        <v>172</v>
      </c>
      <c r="B181" s="11">
        <v>6615</v>
      </c>
      <c r="BA181">
        <v>172</v>
      </c>
      <c r="BC181" s="11">
        <v>6615</v>
      </c>
    </row>
    <row r="182" spans="1:59" x14ac:dyDescent="0.25">
      <c r="A182">
        <v>173</v>
      </c>
      <c r="C182" s="11">
        <v>100</v>
      </c>
      <c r="M182">
        <v>173</v>
      </c>
      <c r="N182" s="11">
        <v>100</v>
      </c>
    </row>
    <row r="183" spans="1:59" x14ac:dyDescent="0.25">
      <c r="A183">
        <v>174</v>
      </c>
      <c r="B183" s="11">
        <v>2</v>
      </c>
      <c r="Q183">
        <v>174</v>
      </c>
      <c r="S183" s="11">
        <v>2</v>
      </c>
    </row>
    <row r="184" spans="1:59" x14ac:dyDescent="0.25">
      <c r="A184">
        <v>175</v>
      </c>
      <c r="B184" s="11">
        <v>34</v>
      </c>
      <c r="U184">
        <v>175</v>
      </c>
      <c r="W184" s="11">
        <v>34</v>
      </c>
    </row>
    <row r="185" spans="1:59" x14ac:dyDescent="0.25">
      <c r="A185">
        <v>176</v>
      </c>
      <c r="B185" s="11">
        <v>212.9</v>
      </c>
      <c r="AS185">
        <v>176</v>
      </c>
      <c r="AU185" s="11">
        <v>212.9</v>
      </c>
    </row>
    <row r="186" spans="1:59" x14ac:dyDescent="0.25">
      <c r="A186">
        <v>177</v>
      </c>
      <c r="B186" s="95">
        <v>10.4</v>
      </c>
      <c r="C186" s="95"/>
      <c r="D186" s="96" t="s">
        <v>295</v>
      </c>
      <c r="F186" s="95"/>
      <c r="G186" s="95"/>
      <c r="J186" s="95"/>
      <c r="K186" s="95"/>
      <c r="N186" s="95"/>
      <c r="O186" s="95"/>
      <c r="R186" s="95"/>
      <c r="S186" s="95"/>
      <c r="V186" s="95"/>
      <c r="W186" s="95"/>
      <c r="Y186">
        <v>177</v>
      </c>
      <c r="Z186" s="95"/>
      <c r="AA186" s="95">
        <v>10.4</v>
      </c>
      <c r="AD186" s="95"/>
      <c r="AE186" s="95"/>
      <c r="AH186" s="95"/>
      <c r="AI186" s="95"/>
      <c r="AL186" s="95"/>
      <c r="AM186" s="95"/>
      <c r="AP186" s="95"/>
      <c r="AQ186" s="95"/>
      <c r="AT186" s="95"/>
      <c r="AU186" s="95"/>
      <c r="AX186" s="95"/>
      <c r="AY186" s="95"/>
      <c r="BB186" s="95"/>
      <c r="BC186" s="95"/>
      <c r="BF186" s="95"/>
      <c r="BG186" s="95"/>
    </row>
    <row r="187" spans="1:59" x14ac:dyDescent="0.25">
      <c r="A187">
        <v>178</v>
      </c>
      <c r="B187" s="95">
        <v>150.06</v>
      </c>
      <c r="C187" s="95"/>
      <c r="D187" s="96">
        <f>D188</f>
        <v>7040.6899999999987</v>
      </c>
      <c r="F187" s="95"/>
      <c r="G187" s="95"/>
      <c r="J187" s="95"/>
      <c r="K187" s="95"/>
      <c r="N187" s="95"/>
      <c r="O187" s="95"/>
      <c r="R187" s="95"/>
      <c r="S187" s="95"/>
      <c r="U187">
        <v>178</v>
      </c>
      <c r="V187" s="95"/>
      <c r="W187" s="95">
        <v>150.06</v>
      </c>
      <c r="Z187" s="95"/>
      <c r="AA187" s="95"/>
      <c r="AD187" s="95"/>
      <c r="AE187" s="95"/>
      <c r="AH187" s="95"/>
      <c r="AI187" s="95"/>
      <c r="AL187" s="95"/>
      <c r="AM187" s="95"/>
      <c r="AP187" s="95"/>
      <c r="AQ187" s="95"/>
      <c r="AT187" s="95"/>
      <c r="AU187" s="95"/>
      <c r="AX187" s="95"/>
      <c r="AY187" s="95"/>
      <c r="BB187" s="95"/>
      <c r="BC187" s="95"/>
      <c r="BF187" s="95"/>
      <c r="BG187" s="95"/>
    </row>
    <row r="188" spans="1:59" ht="15.75" thickBot="1" x14ac:dyDescent="0.3">
      <c r="A188" s="49" t="s">
        <v>293</v>
      </c>
      <c r="B188" s="97">
        <f>SUM(B5:B187)</f>
        <v>30337.460000000003</v>
      </c>
      <c r="C188" s="97">
        <f>SUM(C5:C187)</f>
        <v>37378.15</v>
      </c>
      <c r="D188" s="87">
        <f>C188-B188</f>
        <v>7040.6899999999987</v>
      </c>
      <c r="E188" s="49" t="s">
        <v>293</v>
      </c>
      <c r="F188" s="97">
        <f>SUM(F5:F187)</f>
        <v>0</v>
      </c>
      <c r="G188" s="97">
        <f>SUM(G5:G187)</f>
        <v>20445.129999999997</v>
      </c>
      <c r="H188" s="49"/>
      <c r="I188" s="49" t="s">
        <v>293</v>
      </c>
      <c r="J188" s="97">
        <f>SUM(J5:J187)</f>
        <v>9371</v>
      </c>
      <c r="K188" s="97">
        <f>SUM(K5:K187)</f>
        <v>0</v>
      </c>
      <c r="L188" s="49"/>
      <c r="M188" s="49" t="s">
        <v>293</v>
      </c>
      <c r="N188" s="97">
        <f>SUM(N5:N187)</f>
        <v>11161</v>
      </c>
      <c r="O188" s="97">
        <f>SUM(O5:O187)</f>
        <v>0</v>
      </c>
      <c r="P188" s="49"/>
      <c r="Q188" s="49" t="s">
        <v>293</v>
      </c>
      <c r="R188" s="97">
        <f>SUM(R5:R187)</f>
        <v>31</v>
      </c>
      <c r="S188" s="97">
        <f>SUM(S5:S187)</f>
        <v>183.89999999999998</v>
      </c>
      <c r="T188" s="49"/>
      <c r="U188" s="49" t="s">
        <v>293</v>
      </c>
      <c r="V188" s="97">
        <f>SUM(V5:V187)</f>
        <v>8.15</v>
      </c>
      <c r="W188" s="97">
        <f>SUM(W5:W187)</f>
        <v>475.83</v>
      </c>
      <c r="X188" s="49"/>
      <c r="Y188" s="49" t="s">
        <v>293</v>
      </c>
      <c r="Z188" s="97">
        <f>SUM(Z5:Z187)</f>
        <v>0</v>
      </c>
      <c r="AA188" s="97">
        <f>SUM(AA5:AA187)</f>
        <v>1089.2</v>
      </c>
      <c r="AB188" s="49"/>
      <c r="AC188" s="49" t="s">
        <v>293</v>
      </c>
      <c r="AD188" s="97">
        <f>SUM(AD5:AD187)</f>
        <v>0</v>
      </c>
      <c r="AE188" s="97">
        <f>SUM(AE5:AE187)</f>
        <v>892</v>
      </c>
      <c r="AF188" s="49"/>
      <c r="AG188" s="49" t="s">
        <v>293</v>
      </c>
      <c r="AH188" s="97">
        <f>SUM(AH5:AH187)</f>
        <v>0</v>
      </c>
      <c r="AI188" s="97">
        <f>SUM(AI5:AI187)</f>
        <v>86</v>
      </c>
      <c r="AJ188" s="49"/>
      <c r="AK188" s="49" t="s">
        <v>293</v>
      </c>
      <c r="AL188" s="97">
        <f>SUM(AL5:AL187)</f>
        <v>0</v>
      </c>
      <c r="AM188" s="97">
        <f>SUM(AM5:AM187)</f>
        <v>337.5</v>
      </c>
      <c r="AN188" s="49"/>
      <c r="AO188" s="49" t="s">
        <v>293</v>
      </c>
      <c r="AP188" s="97">
        <f>SUM(AP5:AP187)</f>
        <v>0</v>
      </c>
      <c r="AQ188" s="97">
        <f>SUM(AQ5:AQ187)</f>
        <v>0</v>
      </c>
      <c r="AR188" s="49"/>
      <c r="AS188" s="49" t="s">
        <v>293</v>
      </c>
      <c r="AT188" s="97">
        <f>SUM(AT5:AT187)</f>
        <v>0</v>
      </c>
      <c r="AU188" s="97">
        <f>SUM(AU5:AU187)</f>
        <v>212.9</v>
      </c>
      <c r="AV188" s="49"/>
      <c r="AW188" s="49" t="s">
        <v>293</v>
      </c>
      <c r="AX188" s="97">
        <f>SUM(AX5:AX187)</f>
        <v>6</v>
      </c>
      <c r="AY188" s="97">
        <f>SUM(AY5:AY187)</f>
        <v>0</v>
      </c>
      <c r="AZ188" s="49"/>
      <c r="BA188" s="49" t="s">
        <v>293</v>
      </c>
      <c r="BB188" s="97">
        <f>SUM(BB5:BB187)</f>
        <v>0</v>
      </c>
      <c r="BC188" s="97">
        <f>SUM(BC5:BC187)</f>
        <v>6615</v>
      </c>
      <c r="BE188" s="49" t="s">
        <v>293</v>
      </c>
      <c r="BF188" s="97">
        <f>SUM(BF5:BF187)</f>
        <v>16801</v>
      </c>
      <c r="BG188" s="97">
        <f>SUM(BG5:BG187)</f>
        <v>0</v>
      </c>
    </row>
    <row r="189" spans="1:59" x14ac:dyDescent="0.25">
      <c r="A189" s="137" t="s">
        <v>294</v>
      </c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  <c r="AF189" s="138"/>
      <c r="AG189" s="138"/>
      <c r="AH189" s="138"/>
      <c r="AI189" s="138"/>
      <c r="AJ189" s="138"/>
      <c r="AK189" s="138"/>
      <c r="AL189" s="138"/>
      <c r="AM189" s="138"/>
      <c r="AN189" s="138"/>
      <c r="AO189" s="138"/>
      <c r="AP189" s="138"/>
      <c r="AQ189" s="138"/>
      <c r="AR189" s="138"/>
      <c r="AS189" s="138"/>
      <c r="AT189" s="138"/>
      <c r="AU189" s="138"/>
      <c r="AV189" s="138"/>
      <c r="AW189" s="138"/>
      <c r="AX189" s="138"/>
      <c r="AY189" s="138"/>
      <c r="AZ189" s="138"/>
      <c r="BA189" s="138"/>
      <c r="BB189" s="138"/>
      <c r="BC189" s="138"/>
      <c r="BD189" s="138"/>
      <c r="BE189" s="138"/>
      <c r="BF189" s="138"/>
      <c r="BG189" s="139"/>
    </row>
    <row r="190" spans="1:59" ht="15.75" thickBot="1" x14ac:dyDescent="0.3">
      <c r="A190" s="140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/>
      <c r="AE190" s="141"/>
      <c r="AF190" s="141"/>
      <c r="AG190" s="141"/>
      <c r="AH190" s="141"/>
      <c r="AI190" s="141"/>
      <c r="AJ190" s="141"/>
      <c r="AK190" s="141"/>
      <c r="AL190" s="141"/>
      <c r="AM190" s="141"/>
      <c r="AN190" s="141"/>
      <c r="AO190" s="141"/>
      <c r="AP190" s="141"/>
      <c r="AQ190" s="141"/>
      <c r="AR190" s="141"/>
      <c r="AS190" s="141"/>
      <c r="AT190" s="141"/>
      <c r="AU190" s="141"/>
      <c r="AV190" s="141"/>
      <c r="AW190" s="141"/>
      <c r="AX190" s="141"/>
      <c r="AY190" s="141"/>
      <c r="AZ190" s="141"/>
      <c r="BA190" s="141"/>
      <c r="BB190" s="141"/>
      <c r="BC190" s="141"/>
      <c r="BD190" s="141"/>
      <c r="BE190" s="141"/>
      <c r="BF190" s="141"/>
      <c r="BG190" s="142"/>
    </row>
    <row r="191" spans="1:59" x14ac:dyDescent="0.25">
      <c r="A191">
        <v>179</v>
      </c>
      <c r="C191" s="11">
        <v>8.15</v>
      </c>
      <c r="Y191">
        <v>179</v>
      </c>
      <c r="Z191" s="11">
        <v>8.15</v>
      </c>
    </row>
    <row r="192" spans="1:59" x14ac:dyDescent="0.25">
      <c r="A192">
        <v>180</v>
      </c>
      <c r="B192" s="11">
        <v>14.83</v>
      </c>
      <c r="Y192">
        <v>180</v>
      </c>
      <c r="AA192" s="11">
        <v>14.83</v>
      </c>
    </row>
    <row r="193" spans="1:23" x14ac:dyDescent="0.25">
      <c r="A193">
        <v>181</v>
      </c>
      <c r="C193" s="11">
        <v>75</v>
      </c>
      <c r="M193">
        <v>181</v>
      </c>
      <c r="N193" s="11">
        <v>75</v>
      </c>
    </row>
    <row r="194" spans="1:23" x14ac:dyDescent="0.25">
      <c r="A194">
        <v>182</v>
      </c>
      <c r="C194" s="11">
        <v>110</v>
      </c>
      <c r="M194">
        <v>182</v>
      </c>
      <c r="N194" s="11">
        <v>110</v>
      </c>
    </row>
    <row r="195" spans="1:23" x14ac:dyDescent="0.25">
      <c r="A195">
        <v>183</v>
      </c>
      <c r="B195" s="11">
        <v>8</v>
      </c>
      <c r="Q195">
        <v>183</v>
      </c>
      <c r="S195" s="11">
        <v>8</v>
      </c>
    </row>
    <row r="196" spans="1:23" x14ac:dyDescent="0.25">
      <c r="A196">
        <v>184</v>
      </c>
      <c r="C196" s="11">
        <v>300</v>
      </c>
      <c r="M196">
        <v>184</v>
      </c>
      <c r="N196" s="11">
        <v>300</v>
      </c>
    </row>
    <row r="197" spans="1:23" x14ac:dyDescent="0.25">
      <c r="A197">
        <v>185</v>
      </c>
      <c r="C197" s="11">
        <v>110</v>
      </c>
      <c r="M197">
        <v>185</v>
      </c>
      <c r="N197" s="11">
        <v>110</v>
      </c>
    </row>
    <row r="198" spans="1:23" x14ac:dyDescent="0.25">
      <c r="A198">
        <v>186</v>
      </c>
      <c r="B198" s="11">
        <v>35</v>
      </c>
      <c r="E198">
        <v>186</v>
      </c>
      <c r="G198" s="11">
        <v>35</v>
      </c>
    </row>
    <row r="199" spans="1:23" x14ac:dyDescent="0.25">
      <c r="A199">
        <v>187</v>
      </c>
      <c r="C199" s="11">
        <v>200</v>
      </c>
      <c r="M199">
        <v>187</v>
      </c>
      <c r="N199" s="11">
        <v>200</v>
      </c>
    </row>
    <row r="200" spans="1:23" x14ac:dyDescent="0.25">
      <c r="A200">
        <v>188</v>
      </c>
      <c r="B200" s="11">
        <v>4</v>
      </c>
      <c r="Q200">
        <v>188</v>
      </c>
      <c r="S200" s="11">
        <v>4</v>
      </c>
    </row>
    <row r="201" spans="1:23" x14ac:dyDescent="0.25">
      <c r="A201">
        <v>189</v>
      </c>
      <c r="B201" s="11">
        <v>53</v>
      </c>
      <c r="U201">
        <v>189</v>
      </c>
      <c r="W201" s="11">
        <v>53</v>
      </c>
    </row>
    <row r="202" spans="1:23" x14ac:dyDescent="0.25">
      <c r="A202">
        <v>190</v>
      </c>
      <c r="C202" s="11">
        <v>200</v>
      </c>
      <c r="M202">
        <v>190</v>
      </c>
      <c r="N202" s="11">
        <v>200</v>
      </c>
    </row>
    <row r="203" spans="1:23" x14ac:dyDescent="0.25">
      <c r="A203">
        <v>191</v>
      </c>
      <c r="C203" s="11">
        <v>100</v>
      </c>
      <c r="M203">
        <v>191</v>
      </c>
      <c r="N203" s="11">
        <v>100</v>
      </c>
    </row>
    <row r="204" spans="1:23" x14ac:dyDescent="0.25">
      <c r="A204">
        <v>192</v>
      </c>
      <c r="B204" s="11">
        <v>2</v>
      </c>
      <c r="Q204">
        <v>192</v>
      </c>
      <c r="S204" s="11">
        <v>2</v>
      </c>
    </row>
    <row r="205" spans="1:23" x14ac:dyDescent="0.25">
      <c r="A205">
        <v>193</v>
      </c>
      <c r="B205" s="11">
        <v>13</v>
      </c>
      <c r="U205">
        <v>193</v>
      </c>
      <c r="W205" s="11">
        <v>13</v>
      </c>
    </row>
    <row r="206" spans="1:23" x14ac:dyDescent="0.25">
      <c r="A206">
        <v>194</v>
      </c>
      <c r="C206" s="11">
        <v>100</v>
      </c>
      <c r="M206">
        <v>194</v>
      </c>
      <c r="N206" s="11">
        <v>100</v>
      </c>
    </row>
    <row r="207" spans="1:23" x14ac:dyDescent="0.25">
      <c r="A207">
        <v>195</v>
      </c>
      <c r="C207" s="11">
        <v>110</v>
      </c>
      <c r="M207">
        <v>195</v>
      </c>
      <c r="N207" s="11">
        <v>110</v>
      </c>
    </row>
    <row r="208" spans="1:23" x14ac:dyDescent="0.25">
      <c r="A208">
        <v>196</v>
      </c>
      <c r="C208" s="11">
        <v>220</v>
      </c>
      <c r="M208">
        <v>196</v>
      </c>
      <c r="N208" s="11">
        <v>220</v>
      </c>
    </row>
    <row r="209" spans="1:31" x14ac:dyDescent="0.25">
      <c r="A209">
        <v>197</v>
      </c>
      <c r="C209" s="11">
        <v>110</v>
      </c>
      <c r="M209">
        <v>197</v>
      </c>
      <c r="N209" s="11">
        <v>110</v>
      </c>
    </row>
    <row r="210" spans="1:31" x14ac:dyDescent="0.25">
      <c r="A210">
        <v>198</v>
      </c>
      <c r="B210" s="11">
        <v>6</v>
      </c>
      <c r="Q210">
        <v>198</v>
      </c>
      <c r="S210" s="11">
        <v>6</v>
      </c>
    </row>
    <row r="211" spans="1:31" x14ac:dyDescent="0.25">
      <c r="A211">
        <v>199</v>
      </c>
      <c r="B211" s="11">
        <v>30.5</v>
      </c>
      <c r="Y211">
        <v>199</v>
      </c>
      <c r="AA211" s="11">
        <v>30.5</v>
      </c>
    </row>
    <row r="212" spans="1:31" x14ac:dyDescent="0.25">
      <c r="A212">
        <v>200</v>
      </c>
      <c r="B212" s="11">
        <v>44</v>
      </c>
      <c r="AC212">
        <v>200</v>
      </c>
      <c r="AE212" s="11">
        <v>44</v>
      </c>
    </row>
    <row r="213" spans="1:31" x14ac:dyDescent="0.25">
      <c r="A213">
        <v>201</v>
      </c>
      <c r="C213" s="11">
        <v>285</v>
      </c>
      <c r="M213">
        <v>201</v>
      </c>
      <c r="N213" s="11">
        <v>285</v>
      </c>
    </row>
    <row r="214" spans="1:31" x14ac:dyDescent="0.25">
      <c r="A214">
        <v>202</v>
      </c>
      <c r="C214" s="11">
        <v>100</v>
      </c>
      <c r="M214">
        <v>202</v>
      </c>
      <c r="N214" s="11">
        <v>100</v>
      </c>
    </row>
    <row r="215" spans="1:31" x14ac:dyDescent="0.25">
      <c r="A215">
        <v>203</v>
      </c>
      <c r="B215" s="11">
        <v>8</v>
      </c>
      <c r="Q215">
        <v>203</v>
      </c>
      <c r="S215" s="11">
        <v>8</v>
      </c>
    </row>
    <row r="216" spans="1:31" x14ac:dyDescent="0.25">
      <c r="A216">
        <v>204</v>
      </c>
      <c r="C216" s="11">
        <v>642</v>
      </c>
      <c r="I216">
        <v>204</v>
      </c>
      <c r="J216" s="11">
        <v>642</v>
      </c>
    </row>
    <row r="217" spans="1:31" x14ac:dyDescent="0.25">
      <c r="A217">
        <v>205</v>
      </c>
      <c r="C217" s="11">
        <v>100</v>
      </c>
      <c r="M217">
        <v>205</v>
      </c>
      <c r="N217" s="11">
        <v>100</v>
      </c>
    </row>
    <row r="218" spans="1:31" x14ac:dyDescent="0.25">
      <c r="A218">
        <v>206</v>
      </c>
      <c r="C218" s="11">
        <v>260</v>
      </c>
      <c r="M218">
        <v>206</v>
      </c>
      <c r="N218" s="11">
        <v>260</v>
      </c>
    </row>
    <row r="219" spans="1:31" x14ac:dyDescent="0.25">
      <c r="A219">
        <v>207</v>
      </c>
      <c r="B219" s="11">
        <v>14</v>
      </c>
      <c r="AC219">
        <v>207</v>
      </c>
      <c r="AE219" s="11">
        <v>14</v>
      </c>
    </row>
    <row r="220" spans="1:31" x14ac:dyDescent="0.25">
      <c r="A220">
        <v>208</v>
      </c>
      <c r="B220" s="11">
        <v>30</v>
      </c>
      <c r="U220">
        <v>208</v>
      </c>
      <c r="W220" s="11">
        <v>30</v>
      </c>
    </row>
    <row r="221" spans="1:31" x14ac:dyDescent="0.25">
      <c r="A221">
        <v>209</v>
      </c>
      <c r="B221" s="11">
        <v>5.5</v>
      </c>
      <c r="Q221">
        <v>209</v>
      </c>
      <c r="S221" s="11">
        <v>5.5</v>
      </c>
    </row>
    <row r="222" spans="1:31" x14ac:dyDescent="0.25">
      <c r="A222">
        <v>210</v>
      </c>
      <c r="C222" s="11">
        <v>200</v>
      </c>
      <c r="M222">
        <v>210</v>
      </c>
      <c r="N222" s="11">
        <v>200</v>
      </c>
    </row>
    <row r="223" spans="1:31" x14ac:dyDescent="0.25">
      <c r="A223">
        <v>211</v>
      </c>
      <c r="C223" s="11">
        <v>75</v>
      </c>
      <c r="M223">
        <v>211</v>
      </c>
      <c r="N223" s="11">
        <v>75</v>
      </c>
    </row>
    <row r="224" spans="1:31" x14ac:dyDescent="0.25">
      <c r="A224">
        <v>212</v>
      </c>
      <c r="B224" s="11">
        <v>13</v>
      </c>
      <c r="U224">
        <v>212</v>
      </c>
      <c r="W224" s="11">
        <v>13</v>
      </c>
    </row>
    <row r="225" spans="1:31" x14ac:dyDescent="0.25">
      <c r="A225">
        <v>213</v>
      </c>
      <c r="B225" s="11">
        <v>4</v>
      </c>
      <c r="Q225">
        <v>213</v>
      </c>
      <c r="S225" s="11">
        <v>4</v>
      </c>
    </row>
    <row r="226" spans="1:31" x14ac:dyDescent="0.25">
      <c r="A226">
        <v>214</v>
      </c>
      <c r="C226" s="11">
        <v>110</v>
      </c>
      <c r="M226">
        <v>214</v>
      </c>
      <c r="N226" s="11">
        <v>110</v>
      </c>
    </row>
    <row r="227" spans="1:31" x14ac:dyDescent="0.25">
      <c r="A227">
        <v>215</v>
      </c>
      <c r="C227" s="11">
        <v>5</v>
      </c>
      <c r="Q227">
        <v>215</v>
      </c>
      <c r="R227" s="11">
        <v>5</v>
      </c>
    </row>
    <row r="228" spans="1:31" x14ac:dyDescent="0.25">
      <c r="A228">
        <v>216</v>
      </c>
      <c r="C228" s="11">
        <v>75</v>
      </c>
      <c r="M228">
        <v>216</v>
      </c>
      <c r="N228" s="11">
        <v>75</v>
      </c>
    </row>
    <row r="229" spans="1:31" x14ac:dyDescent="0.25">
      <c r="A229">
        <v>217</v>
      </c>
      <c r="C229" s="11">
        <v>150</v>
      </c>
      <c r="M229">
        <v>217</v>
      </c>
      <c r="N229" s="11">
        <v>150</v>
      </c>
    </row>
    <row r="230" spans="1:31" x14ac:dyDescent="0.25">
      <c r="A230">
        <v>218</v>
      </c>
      <c r="C230" s="11">
        <v>150</v>
      </c>
      <c r="M230">
        <v>218</v>
      </c>
      <c r="N230" s="11">
        <v>150</v>
      </c>
    </row>
    <row r="231" spans="1:31" x14ac:dyDescent="0.25">
      <c r="A231">
        <v>219</v>
      </c>
      <c r="B231" s="11">
        <v>231.5</v>
      </c>
      <c r="Y231">
        <v>219</v>
      </c>
      <c r="AA231" s="11">
        <v>231.5</v>
      </c>
    </row>
    <row r="232" spans="1:31" x14ac:dyDescent="0.25">
      <c r="A232">
        <v>220</v>
      </c>
      <c r="B232" s="11">
        <v>70</v>
      </c>
      <c r="E232">
        <v>220</v>
      </c>
      <c r="G232" s="11">
        <v>70</v>
      </c>
    </row>
    <row r="233" spans="1:31" x14ac:dyDescent="0.25">
      <c r="A233">
        <v>221</v>
      </c>
      <c r="C233" s="11">
        <v>75</v>
      </c>
      <c r="M233">
        <v>221</v>
      </c>
      <c r="N233" s="11">
        <v>75</v>
      </c>
    </row>
    <row r="234" spans="1:31" x14ac:dyDescent="0.25">
      <c r="A234">
        <v>222</v>
      </c>
      <c r="C234" s="11">
        <v>182</v>
      </c>
      <c r="M234">
        <v>222</v>
      </c>
      <c r="N234" s="11">
        <v>182</v>
      </c>
    </row>
    <row r="235" spans="1:31" x14ac:dyDescent="0.25">
      <c r="A235">
        <v>223</v>
      </c>
      <c r="C235" s="11">
        <v>170</v>
      </c>
      <c r="M235">
        <v>223</v>
      </c>
      <c r="N235" s="11">
        <v>170</v>
      </c>
    </row>
    <row r="236" spans="1:31" x14ac:dyDescent="0.25">
      <c r="A236">
        <v>224</v>
      </c>
      <c r="C236" s="11">
        <v>130</v>
      </c>
      <c r="M236">
        <v>224</v>
      </c>
      <c r="N236" s="11">
        <v>130</v>
      </c>
    </row>
    <row r="237" spans="1:31" x14ac:dyDescent="0.25">
      <c r="A237">
        <v>225</v>
      </c>
      <c r="C237" s="11">
        <v>15</v>
      </c>
      <c r="Q237">
        <v>225</v>
      </c>
      <c r="R237" s="11">
        <v>15</v>
      </c>
    </row>
    <row r="238" spans="1:31" x14ac:dyDescent="0.25">
      <c r="A238">
        <v>226</v>
      </c>
      <c r="B238" s="11">
        <v>12.6</v>
      </c>
      <c r="Q238">
        <v>226</v>
      </c>
      <c r="S238" s="11">
        <v>12.6</v>
      </c>
    </row>
    <row r="239" spans="1:31" x14ac:dyDescent="0.25">
      <c r="A239">
        <v>227</v>
      </c>
      <c r="C239" s="11">
        <v>75</v>
      </c>
      <c r="M239">
        <v>227</v>
      </c>
      <c r="N239" s="11">
        <v>75</v>
      </c>
    </row>
    <row r="240" spans="1:31" x14ac:dyDescent="0.25">
      <c r="A240">
        <v>228</v>
      </c>
      <c r="B240" s="11">
        <v>105</v>
      </c>
      <c r="AC240">
        <v>228</v>
      </c>
      <c r="AE240" s="11">
        <v>105</v>
      </c>
    </row>
    <row r="241" spans="1:51" x14ac:dyDescent="0.25">
      <c r="A241">
        <v>229</v>
      </c>
      <c r="B241" s="11">
        <v>8.5</v>
      </c>
      <c r="Y241">
        <v>229</v>
      </c>
      <c r="AA241" s="11">
        <v>8.5</v>
      </c>
    </row>
    <row r="242" spans="1:51" x14ac:dyDescent="0.25">
      <c r="A242">
        <v>230</v>
      </c>
      <c r="C242" s="11">
        <v>100</v>
      </c>
      <c r="AW242">
        <v>230</v>
      </c>
      <c r="AX242" s="11">
        <v>100</v>
      </c>
    </row>
    <row r="243" spans="1:51" x14ac:dyDescent="0.25">
      <c r="A243">
        <v>231</v>
      </c>
      <c r="B243" s="11">
        <v>61</v>
      </c>
      <c r="U243">
        <v>231</v>
      </c>
      <c r="W243" s="11">
        <v>61</v>
      </c>
    </row>
    <row r="244" spans="1:51" x14ac:dyDescent="0.25">
      <c r="A244">
        <v>232</v>
      </c>
      <c r="B244" s="11">
        <v>8</v>
      </c>
      <c r="U244">
        <v>232</v>
      </c>
      <c r="W244" s="11">
        <v>8</v>
      </c>
    </row>
    <row r="245" spans="1:51" x14ac:dyDescent="0.25">
      <c r="A245">
        <v>233</v>
      </c>
      <c r="B245" s="11">
        <v>10</v>
      </c>
      <c r="Q245">
        <v>233</v>
      </c>
      <c r="S245" s="11">
        <v>10</v>
      </c>
    </row>
    <row r="246" spans="1:51" x14ac:dyDescent="0.25">
      <c r="A246">
        <v>234</v>
      </c>
      <c r="B246" s="11">
        <v>2000</v>
      </c>
      <c r="AW246">
        <v>234</v>
      </c>
      <c r="AY246" s="11">
        <v>2000</v>
      </c>
    </row>
    <row r="247" spans="1:51" x14ac:dyDescent="0.25">
      <c r="A247">
        <v>235</v>
      </c>
      <c r="C247" s="11">
        <v>110</v>
      </c>
      <c r="M247">
        <v>235</v>
      </c>
      <c r="N247" s="11">
        <v>110</v>
      </c>
    </row>
    <row r="248" spans="1:51" x14ac:dyDescent="0.25">
      <c r="A248">
        <v>236</v>
      </c>
      <c r="C248" s="11">
        <v>110</v>
      </c>
      <c r="M248">
        <v>236</v>
      </c>
      <c r="N248" s="11">
        <v>110</v>
      </c>
    </row>
    <row r="249" spans="1:51" x14ac:dyDescent="0.25">
      <c r="A249">
        <v>237</v>
      </c>
      <c r="C249" s="11">
        <v>75</v>
      </c>
      <c r="M249">
        <v>237</v>
      </c>
      <c r="N249" s="11">
        <v>75</v>
      </c>
    </row>
    <row r="250" spans="1:51" x14ac:dyDescent="0.25">
      <c r="A250">
        <v>238</v>
      </c>
      <c r="C250" s="11">
        <v>200</v>
      </c>
      <c r="M250">
        <v>238</v>
      </c>
      <c r="N250" s="11">
        <v>200</v>
      </c>
    </row>
    <row r="251" spans="1:51" x14ac:dyDescent="0.25">
      <c r="A251">
        <v>239</v>
      </c>
      <c r="C251" s="11">
        <v>100</v>
      </c>
      <c r="M251">
        <v>239</v>
      </c>
      <c r="N251" s="11">
        <v>100</v>
      </c>
    </row>
    <row r="252" spans="1:51" x14ac:dyDescent="0.25">
      <c r="A252">
        <v>240</v>
      </c>
      <c r="B252" s="11">
        <v>15</v>
      </c>
      <c r="U252">
        <v>240</v>
      </c>
      <c r="W252" s="11">
        <v>15</v>
      </c>
    </row>
    <row r="253" spans="1:51" x14ac:dyDescent="0.25">
      <c r="A253">
        <v>241</v>
      </c>
      <c r="B253" s="11">
        <v>27.5</v>
      </c>
      <c r="Y253">
        <v>241</v>
      </c>
      <c r="AA253" s="11">
        <v>27.5</v>
      </c>
    </row>
    <row r="254" spans="1:51" x14ac:dyDescent="0.25">
      <c r="A254">
        <v>242</v>
      </c>
      <c r="B254" s="11">
        <v>50</v>
      </c>
      <c r="Q254">
        <v>242</v>
      </c>
      <c r="S254" s="11">
        <v>50</v>
      </c>
    </row>
    <row r="255" spans="1:51" x14ac:dyDescent="0.25">
      <c r="A255">
        <v>243</v>
      </c>
      <c r="C255" s="11">
        <v>110</v>
      </c>
      <c r="M255">
        <v>243</v>
      </c>
      <c r="N255" s="11">
        <v>110</v>
      </c>
    </row>
    <row r="256" spans="1:51" x14ac:dyDescent="0.25">
      <c r="A256">
        <v>244</v>
      </c>
      <c r="C256" s="11">
        <v>100</v>
      </c>
      <c r="M256">
        <v>244</v>
      </c>
      <c r="N256" s="11">
        <v>100</v>
      </c>
    </row>
    <row r="257" spans="1:39" x14ac:dyDescent="0.25">
      <c r="A257">
        <v>245</v>
      </c>
      <c r="C257" s="11">
        <v>110</v>
      </c>
      <c r="M257">
        <v>245</v>
      </c>
      <c r="N257" s="11">
        <v>110</v>
      </c>
    </row>
    <row r="258" spans="1:39" x14ac:dyDescent="0.25">
      <c r="A258">
        <v>246</v>
      </c>
      <c r="C258" s="11">
        <v>110</v>
      </c>
      <c r="M258">
        <v>246</v>
      </c>
      <c r="N258" s="11">
        <v>110</v>
      </c>
    </row>
    <row r="259" spans="1:39" x14ac:dyDescent="0.25">
      <c r="A259">
        <v>247</v>
      </c>
      <c r="C259" s="11">
        <v>320</v>
      </c>
      <c r="M259">
        <v>247</v>
      </c>
      <c r="N259" s="11">
        <v>320</v>
      </c>
    </row>
    <row r="260" spans="1:39" x14ac:dyDescent="0.25">
      <c r="A260">
        <v>248</v>
      </c>
      <c r="C260" s="11">
        <v>100</v>
      </c>
      <c r="M260">
        <v>248</v>
      </c>
      <c r="N260" s="11">
        <v>100</v>
      </c>
    </row>
    <row r="261" spans="1:39" x14ac:dyDescent="0.25">
      <c r="A261">
        <v>249</v>
      </c>
      <c r="C261" s="11">
        <v>100</v>
      </c>
      <c r="M261">
        <v>249</v>
      </c>
      <c r="N261" s="11">
        <v>100</v>
      </c>
    </row>
    <row r="262" spans="1:39" x14ac:dyDescent="0.25">
      <c r="A262">
        <v>250</v>
      </c>
      <c r="B262" s="11">
        <v>15.5</v>
      </c>
      <c r="Y262">
        <v>250</v>
      </c>
      <c r="AA262" s="11">
        <v>15.5</v>
      </c>
    </row>
    <row r="263" spans="1:39" x14ac:dyDescent="0.25">
      <c r="A263">
        <v>251</v>
      </c>
      <c r="B263" s="11">
        <v>8</v>
      </c>
      <c r="U263">
        <v>251</v>
      </c>
      <c r="W263" s="11">
        <v>8</v>
      </c>
    </row>
    <row r="264" spans="1:39" x14ac:dyDescent="0.25">
      <c r="A264">
        <v>252</v>
      </c>
      <c r="B264" s="11">
        <v>175</v>
      </c>
      <c r="AK264">
        <v>252</v>
      </c>
      <c r="AM264" s="11">
        <v>175</v>
      </c>
    </row>
    <row r="265" spans="1:39" x14ac:dyDescent="0.25">
      <c r="A265">
        <v>253</v>
      </c>
      <c r="B265" s="11">
        <v>20</v>
      </c>
      <c r="U265">
        <v>253</v>
      </c>
      <c r="W265" s="11">
        <v>20</v>
      </c>
    </row>
    <row r="266" spans="1:39" x14ac:dyDescent="0.25">
      <c r="A266">
        <v>254</v>
      </c>
      <c r="B266" s="11">
        <v>9.5</v>
      </c>
      <c r="Q266">
        <v>254</v>
      </c>
      <c r="S266" s="11">
        <v>9.5</v>
      </c>
    </row>
    <row r="267" spans="1:39" x14ac:dyDescent="0.25">
      <c r="A267">
        <v>255</v>
      </c>
      <c r="C267" s="11">
        <v>100</v>
      </c>
      <c r="M267">
        <v>255</v>
      </c>
      <c r="N267" s="11">
        <v>100</v>
      </c>
    </row>
    <row r="268" spans="1:39" x14ac:dyDescent="0.25">
      <c r="A268">
        <v>256</v>
      </c>
      <c r="C268" s="11">
        <v>75</v>
      </c>
      <c r="M268">
        <v>256</v>
      </c>
      <c r="N268" s="11">
        <v>75</v>
      </c>
    </row>
    <row r="269" spans="1:39" x14ac:dyDescent="0.25">
      <c r="A269">
        <v>257</v>
      </c>
      <c r="B269" s="11">
        <v>15</v>
      </c>
      <c r="U269">
        <v>257</v>
      </c>
      <c r="W269" s="11">
        <v>15</v>
      </c>
    </row>
    <row r="270" spans="1:39" x14ac:dyDescent="0.25">
      <c r="A270">
        <v>258</v>
      </c>
      <c r="B270" s="11">
        <v>10</v>
      </c>
      <c r="Q270">
        <v>258</v>
      </c>
      <c r="S270" s="11">
        <v>10</v>
      </c>
    </row>
    <row r="271" spans="1:39" x14ac:dyDescent="0.25">
      <c r="A271">
        <v>259</v>
      </c>
      <c r="C271" s="11">
        <v>110</v>
      </c>
      <c r="M271">
        <v>259</v>
      </c>
      <c r="N271" s="11">
        <v>110</v>
      </c>
    </row>
    <row r="272" spans="1:39" x14ac:dyDescent="0.25">
      <c r="A272">
        <v>260</v>
      </c>
      <c r="C272" s="11">
        <v>100</v>
      </c>
      <c r="M272">
        <v>260</v>
      </c>
      <c r="N272" s="11">
        <v>100</v>
      </c>
    </row>
    <row r="273" spans="1:27" x14ac:dyDescent="0.25">
      <c r="A273">
        <v>261</v>
      </c>
      <c r="C273" s="11">
        <v>200</v>
      </c>
      <c r="M273">
        <v>261</v>
      </c>
      <c r="N273" s="11">
        <v>200</v>
      </c>
    </row>
    <row r="274" spans="1:27" x14ac:dyDescent="0.25">
      <c r="A274">
        <v>262</v>
      </c>
      <c r="C274" s="11">
        <v>75</v>
      </c>
      <c r="M274">
        <v>262</v>
      </c>
      <c r="N274" s="11">
        <v>75</v>
      </c>
    </row>
    <row r="275" spans="1:27" x14ac:dyDescent="0.25">
      <c r="A275">
        <v>263</v>
      </c>
      <c r="B275" s="11">
        <v>2</v>
      </c>
      <c r="Q275">
        <v>263</v>
      </c>
      <c r="S275" s="11">
        <v>2</v>
      </c>
    </row>
    <row r="276" spans="1:27" x14ac:dyDescent="0.25">
      <c r="A276">
        <v>264</v>
      </c>
      <c r="B276" s="11">
        <v>190</v>
      </c>
      <c r="U276">
        <v>264</v>
      </c>
      <c r="W276" s="11">
        <v>190</v>
      </c>
    </row>
    <row r="277" spans="1:27" x14ac:dyDescent="0.25">
      <c r="A277">
        <v>265</v>
      </c>
      <c r="B277" s="11">
        <v>184.1</v>
      </c>
      <c r="Y277">
        <v>265</v>
      </c>
      <c r="AA277" s="11">
        <v>184.1</v>
      </c>
    </row>
    <row r="278" spans="1:27" x14ac:dyDescent="0.25">
      <c r="A278">
        <v>266</v>
      </c>
      <c r="C278" s="11">
        <v>110</v>
      </c>
      <c r="M278">
        <v>266</v>
      </c>
      <c r="N278" s="11">
        <v>110</v>
      </c>
    </row>
    <row r="279" spans="1:27" x14ac:dyDescent="0.25">
      <c r="A279">
        <v>267</v>
      </c>
      <c r="C279" s="11">
        <v>100</v>
      </c>
      <c r="M279">
        <v>267</v>
      </c>
      <c r="N279" s="11">
        <v>100</v>
      </c>
    </row>
    <row r="280" spans="1:27" x14ac:dyDescent="0.25">
      <c r="A280">
        <v>268</v>
      </c>
      <c r="B280" s="11">
        <v>24.5</v>
      </c>
      <c r="U280">
        <v>268</v>
      </c>
      <c r="W280" s="11">
        <v>24.5</v>
      </c>
    </row>
    <row r="281" spans="1:27" x14ac:dyDescent="0.25">
      <c r="A281">
        <v>269</v>
      </c>
      <c r="B281" s="11">
        <v>2</v>
      </c>
      <c r="Q281">
        <v>269</v>
      </c>
      <c r="S281" s="11">
        <v>2</v>
      </c>
    </row>
    <row r="282" spans="1:27" x14ac:dyDescent="0.25">
      <c r="A282">
        <v>270</v>
      </c>
      <c r="C282" s="11">
        <v>100</v>
      </c>
      <c r="M282">
        <v>270</v>
      </c>
      <c r="N282" s="11">
        <v>100</v>
      </c>
    </row>
    <row r="283" spans="1:27" x14ac:dyDescent="0.25">
      <c r="A283">
        <v>271</v>
      </c>
      <c r="C283" s="11">
        <v>100</v>
      </c>
      <c r="M283">
        <v>271</v>
      </c>
      <c r="N283" s="11">
        <v>100</v>
      </c>
    </row>
    <row r="284" spans="1:27" x14ac:dyDescent="0.25">
      <c r="A284">
        <v>272</v>
      </c>
      <c r="C284" s="11">
        <v>110</v>
      </c>
      <c r="M284">
        <v>272</v>
      </c>
      <c r="N284" s="11">
        <v>110</v>
      </c>
    </row>
    <row r="285" spans="1:27" x14ac:dyDescent="0.25">
      <c r="A285">
        <v>273</v>
      </c>
      <c r="C285" s="11">
        <v>110</v>
      </c>
      <c r="M285">
        <v>273</v>
      </c>
      <c r="N285" s="11">
        <v>110</v>
      </c>
    </row>
    <row r="286" spans="1:27" x14ac:dyDescent="0.25">
      <c r="A286">
        <v>274</v>
      </c>
      <c r="C286" s="11">
        <v>100</v>
      </c>
      <c r="M286">
        <v>274</v>
      </c>
      <c r="N286" s="11">
        <v>100</v>
      </c>
    </row>
    <row r="287" spans="1:27" x14ac:dyDescent="0.25">
      <c r="A287">
        <v>275</v>
      </c>
      <c r="B287" s="11">
        <v>22</v>
      </c>
      <c r="Q287">
        <v>275</v>
      </c>
      <c r="S287" s="11">
        <v>22</v>
      </c>
    </row>
    <row r="288" spans="1:27" x14ac:dyDescent="0.25">
      <c r="A288">
        <v>276</v>
      </c>
      <c r="C288" s="11">
        <v>10</v>
      </c>
      <c r="Q288">
        <v>276</v>
      </c>
      <c r="R288" s="11">
        <v>10</v>
      </c>
    </row>
    <row r="289" spans="1:27" x14ac:dyDescent="0.25">
      <c r="A289">
        <v>277</v>
      </c>
      <c r="B289" s="11">
        <v>84</v>
      </c>
      <c r="Y289">
        <v>277</v>
      </c>
      <c r="AA289" s="11">
        <v>84</v>
      </c>
    </row>
    <row r="290" spans="1:27" x14ac:dyDescent="0.25">
      <c r="A290">
        <v>278</v>
      </c>
      <c r="B290" s="11">
        <v>492</v>
      </c>
      <c r="E290">
        <v>278</v>
      </c>
      <c r="G290" s="11">
        <v>492</v>
      </c>
    </row>
    <row r="291" spans="1:27" x14ac:dyDescent="0.25">
      <c r="A291">
        <v>279</v>
      </c>
      <c r="B291" s="11">
        <v>10</v>
      </c>
      <c r="U291">
        <v>279</v>
      </c>
      <c r="W291" s="11">
        <v>10</v>
      </c>
    </row>
    <row r="292" spans="1:27" x14ac:dyDescent="0.25">
      <c r="A292">
        <v>280</v>
      </c>
      <c r="B292" s="11">
        <v>63.5</v>
      </c>
      <c r="U292">
        <v>280</v>
      </c>
      <c r="W292" s="11">
        <v>63.5</v>
      </c>
    </row>
    <row r="293" spans="1:27" x14ac:dyDescent="0.25">
      <c r="A293">
        <v>281</v>
      </c>
      <c r="B293" s="11">
        <v>32.799999999999997</v>
      </c>
      <c r="Y293">
        <v>281</v>
      </c>
      <c r="AA293" s="11">
        <v>32.799999999999997</v>
      </c>
    </row>
    <row r="294" spans="1:27" x14ac:dyDescent="0.25">
      <c r="A294">
        <v>282</v>
      </c>
      <c r="B294" s="11">
        <v>32</v>
      </c>
      <c r="U294">
        <v>282</v>
      </c>
      <c r="W294" s="11">
        <v>32</v>
      </c>
    </row>
    <row r="295" spans="1:27" x14ac:dyDescent="0.25">
      <c r="A295">
        <v>283</v>
      </c>
      <c r="C295" s="11">
        <v>110</v>
      </c>
      <c r="M295">
        <v>283</v>
      </c>
      <c r="N295" s="11">
        <v>110</v>
      </c>
    </row>
    <row r="296" spans="1:27" x14ac:dyDescent="0.25">
      <c r="A296">
        <v>284</v>
      </c>
      <c r="C296" s="11">
        <v>5</v>
      </c>
      <c r="Q296">
        <v>284</v>
      </c>
      <c r="R296" s="11">
        <v>5</v>
      </c>
    </row>
    <row r="297" spans="1:27" x14ac:dyDescent="0.25">
      <c r="A297">
        <v>285</v>
      </c>
      <c r="B297" s="11">
        <v>7</v>
      </c>
      <c r="Q297">
        <v>285</v>
      </c>
      <c r="S297" s="11">
        <v>7</v>
      </c>
    </row>
    <row r="298" spans="1:27" x14ac:dyDescent="0.25">
      <c r="A298">
        <v>286</v>
      </c>
      <c r="C298" s="11">
        <v>200</v>
      </c>
      <c r="M298">
        <v>286</v>
      </c>
      <c r="N298" s="11">
        <v>200</v>
      </c>
    </row>
    <row r="299" spans="1:27" x14ac:dyDescent="0.25">
      <c r="A299">
        <v>287</v>
      </c>
      <c r="B299" s="11">
        <v>111</v>
      </c>
      <c r="E299">
        <v>287</v>
      </c>
      <c r="G299" s="11">
        <v>111</v>
      </c>
    </row>
    <row r="300" spans="1:27" x14ac:dyDescent="0.25">
      <c r="A300">
        <v>288</v>
      </c>
      <c r="C300" s="11">
        <v>100</v>
      </c>
      <c r="M300">
        <v>288</v>
      </c>
      <c r="N300" s="11">
        <v>100</v>
      </c>
    </row>
    <row r="301" spans="1:27" x14ac:dyDescent="0.25">
      <c r="A301">
        <v>289</v>
      </c>
      <c r="B301" s="11">
        <v>6</v>
      </c>
      <c r="U301">
        <v>289</v>
      </c>
      <c r="W301" s="11">
        <v>6</v>
      </c>
    </row>
    <row r="302" spans="1:27" x14ac:dyDescent="0.25">
      <c r="A302">
        <v>290</v>
      </c>
      <c r="C302" s="11">
        <v>100</v>
      </c>
      <c r="M302">
        <v>290</v>
      </c>
      <c r="N302" s="11">
        <v>100</v>
      </c>
    </row>
    <row r="303" spans="1:27" x14ac:dyDescent="0.25">
      <c r="A303">
        <v>291</v>
      </c>
      <c r="C303" s="11">
        <v>75</v>
      </c>
      <c r="M303">
        <v>291</v>
      </c>
      <c r="N303" s="11">
        <v>75</v>
      </c>
    </row>
    <row r="304" spans="1:27" x14ac:dyDescent="0.25">
      <c r="A304">
        <v>292</v>
      </c>
      <c r="C304" s="11">
        <v>75</v>
      </c>
      <c r="M304">
        <v>292</v>
      </c>
      <c r="N304" s="11">
        <v>75</v>
      </c>
    </row>
    <row r="305" spans="1:31" x14ac:dyDescent="0.25">
      <c r="A305">
        <v>293</v>
      </c>
      <c r="C305" s="11">
        <v>110</v>
      </c>
      <c r="M305">
        <v>293</v>
      </c>
      <c r="N305" s="11">
        <v>110</v>
      </c>
    </row>
    <row r="306" spans="1:31" x14ac:dyDescent="0.25">
      <c r="A306">
        <v>294</v>
      </c>
      <c r="B306" s="11">
        <v>4</v>
      </c>
      <c r="Q306">
        <v>294</v>
      </c>
      <c r="S306" s="11">
        <v>4</v>
      </c>
    </row>
    <row r="307" spans="1:31" x14ac:dyDescent="0.25">
      <c r="A307">
        <v>295</v>
      </c>
      <c r="B307" s="11">
        <v>11.5</v>
      </c>
      <c r="U307">
        <v>295</v>
      </c>
      <c r="W307" s="11">
        <v>11.5</v>
      </c>
    </row>
    <row r="308" spans="1:31" x14ac:dyDescent="0.25">
      <c r="A308">
        <v>296</v>
      </c>
      <c r="B308" s="11">
        <v>68</v>
      </c>
      <c r="AC308">
        <v>296</v>
      </c>
      <c r="AE308" s="11">
        <v>68</v>
      </c>
    </row>
    <row r="309" spans="1:31" x14ac:dyDescent="0.25">
      <c r="A309">
        <v>297</v>
      </c>
      <c r="C309" s="11">
        <v>75</v>
      </c>
      <c r="M309">
        <v>297</v>
      </c>
      <c r="N309" s="11">
        <v>75</v>
      </c>
    </row>
    <row r="310" spans="1:31" x14ac:dyDescent="0.25">
      <c r="A310">
        <v>298</v>
      </c>
      <c r="C310" s="11">
        <v>75</v>
      </c>
      <c r="M310">
        <v>298</v>
      </c>
      <c r="N310" s="11">
        <v>75</v>
      </c>
    </row>
    <row r="311" spans="1:31" x14ac:dyDescent="0.25">
      <c r="A311">
        <v>299</v>
      </c>
      <c r="B311" s="11">
        <v>2</v>
      </c>
      <c r="Q311">
        <v>299</v>
      </c>
      <c r="S311" s="11">
        <v>2</v>
      </c>
    </row>
    <row r="312" spans="1:31" x14ac:dyDescent="0.25">
      <c r="A312">
        <v>300</v>
      </c>
      <c r="C312" s="11">
        <v>75</v>
      </c>
      <c r="M312">
        <v>300</v>
      </c>
      <c r="N312" s="11">
        <v>75</v>
      </c>
    </row>
    <row r="313" spans="1:31" x14ac:dyDescent="0.25">
      <c r="A313">
        <v>301</v>
      </c>
      <c r="C313" s="11">
        <v>2939</v>
      </c>
      <c r="I313">
        <v>301</v>
      </c>
      <c r="J313" s="11">
        <v>2939</v>
      </c>
    </row>
    <row r="314" spans="1:31" x14ac:dyDescent="0.25">
      <c r="A314">
        <v>302</v>
      </c>
      <c r="B314" s="11">
        <v>3.5</v>
      </c>
      <c r="Q314">
        <v>302</v>
      </c>
      <c r="S314" s="11">
        <v>3.5</v>
      </c>
    </row>
    <row r="315" spans="1:31" x14ac:dyDescent="0.25">
      <c r="A315">
        <v>303</v>
      </c>
      <c r="B315" s="11">
        <v>180.7</v>
      </c>
      <c r="Y315">
        <v>303</v>
      </c>
      <c r="AA315" s="11">
        <v>180.7</v>
      </c>
    </row>
    <row r="316" spans="1:31" x14ac:dyDescent="0.25">
      <c r="A316">
        <v>304</v>
      </c>
      <c r="B316" s="11">
        <v>25</v>
      </c>
      <c r="U316">
        <v>304</v>
      </c>
      <c r="W316" s="11">
        <v>25</v>
      </c>
    </row>
    <row r="317" spans="1:31" x14ac:dyDescent="0.25">
      <c r="A317">
        <v>305</v>
      </c>
      <c r="C317" s="11">
        <v>20</v>
      </c>
      <c r="U317">
        <v>305</v>
      </c>
      <c r="V317" s="11">
        <v>20</v>
      </c>
    </row>
    <row r="318" spans="1:31" x14ac:dyDescent="0.25">
      <c r="A318">
        <v>306</v>
      </c>
      <c r="C318" s="11">
        <v>75</v>
      </c>
      <c r="M318">
        <v>306</v>
      </c>
      <c r="N318" s="11">
        <v>75</v>
      </c>
    </row>
    <row r="319" spans="1:31" x14ac:dyDescent="0.25">
      <c r="A319">
        <v>307</v>
      </c>
      <c r="C319" s="11">
        <v>75</v>
      </c>
      <c r="M319">
        <v>308</v>
      </c>
      <c r="N319" s="11">
        <v>75</v>
      </c>
    </row>
    <row r="320" spans="1:31" x14ac:dyDescent="0.25">
      <c r="A320">
        <v>308</v>
      </c>
      <c r="C320" s="11">
        <v>75</v>
      </c>
      <c r="M320">
        <v>308</v>
      </c>
      <c r="N320" s="11">
        <v>75</v>
      </c>
    </row>
    <row r="321" spans="1:50" x14ac:dyDescent="0.25">
      <c r="A321">
        <v>309</v>
      </c>
      <c r="B321" s="11">
        <v>585.13</v>
      </c>
      <c r="E321">
        <v>309</v>
      </c>
      <c r="G321" s="11">
        <v>585.13</v>
      </c>
    </row>
    <row r="322" spans="1:50" x14ac:dyDescent="0.25">
      <c r="A322">
        <v>310</v>
      </c>
      <c r="B322" s="11">
        <v>4</v>
      </c>
      <c r="Q322">
        <v>310</v>
      </c>
      <c r="S322" s="11">
        <v>4</v>
      </c>
    </row>
    <row r="323" spans="1:50" x14ac:dyDescent="0.25">
      <c r="A323">
        <v>311</v>
      </c>
      <c r="C323" s="11">
        <v>50</v>
      </c>
      <c r="AW323">
        <v>311</v>
      </c>
      <c r="AX323" s="11">
        <v>50</v>
      </c>
    </row>
    <row r="324" spans="1:50" x14ac:dyDescent="0.25">
      <c r="A324">
        <v>312</v>
      </c>
      <c r="B324" s="11">
        <v>25.5</v>
      </c>
      <c r="U324">
        <v>312</v>
      </c>
      <c r="W324" s="11">
        <v>25.5</v>
      </c>
    </row>
    <row r="325" spans="1:50" x14ac:dyDescent="0.25">
      <c r="A325">
        <v>313</v>
      </c>
      <c r="B325" s="11">
        <v>174.82</v>
      </c>
      <c r="U325">
        <v>313</v>
      </c>
      <c r="W325" s="11">
        <v>174.82</v>
      </c>
    </row>
    <row r="326" spans="1:50" x14ac:dyDescent="0.25">
      <c r="A326">
        <v>314</v>
      </c>
      <c r="C326" s="11">
        <v>100</v>
      </c>
      <c r="M326">
        <v>314</v>
      </c>
      <c r="N326" s="11">
        <v>100</v>
      </c>
    </row>
    <row r="327" spans="1:50" x14ac:dyDescent="0.25">
      <c r="A327">
        <v>315</v>
      </c>
      <c r="C327" s="11">
        <v>110</v>
      </c>
      <c r="M327">
        <v>315</v>
      </c>
      <c r="N327" s="11">
        <v>110</v>
      </c>
    </row>
    <row r="328" spans="1:50" x14ac:dyDescent="0.25">
      <c r="A328">
        <v>316</v>
      </c>
      <c r="B328" s="11">
        <v>3</v>
      </c>
      <c r="Q328">
        <v>316</v>
      </c>
      <c r="S328" s="11">
        <v>3</v>
      </c>
    </row>
    <row r="329" spans="1:50" x14ac:dyDescent="0.25">
      <c r="A329">
        <v>317</v>
      </c>
      <c r="C329" s="11">
        <v>95</v>
      </c>
      <c r="M329">
        <v>317</v>
      </c>
      <c r="N329" s="11">
        <v>95</v>
      </c>
    </row>
    <row r="330" spans="1:50" x14ac:dyDescent="0.25">
      <c r="A330">
        <v>318</v>
      </c>
      <c r="B330" s="11">
        <v>51</v>
      </c>
      <c r="U330">
        <v>318</v>
      </c>
      <c r="W330" s="11">
        <v>51</v>
      </c>
    </row>
    <row r="331" spans="1:50" x14ac:dyDescent="0.25">
      <c r="A331">
        <v>319</v>
      </c>
      <c r="B331" s="11">
        <v>8.3000000000000007</v>
      </c>
      <c r="Y331">
        <v>319</v>
      </c>
      <c r="AA331" s="11">
        <v>8.3000000000000007</v>
      </c>
    </row>
    <row r="332" spans="1:50" x14ac:dyDescent="0.25">
      <c r="A332">
        <v>320</v>
      </c>
      <c r="C332" s="11">
        <v>100</v>
      </c>
      <c r="M332">
        <v>320</v>
      </c>
      <c r="N332" s="11">
        <v>100</v>
      </c>
    </row>
    <row r="333" spans="1:50" x14ac:dyDescent="0.25">
      <c r="A333">
        <v>321</v>
      </c>
      <c r="C333" s="11">
        <v>110</v>
      </c>
      <c r="M333">
        <v>321</v>
      </c>
      <c r="N333" s="11">
        <v>110</v>
      </c>
    </row>
    <row r="334" spans="1:50" x14ac:dyDescent="0.25">
      <c r="A334">
        <v>322</v>
      </c>
      <c r="C334" s="11">
        <v>340</v>
      </c>
      <c r="M334">
        <v>322</v>
      </c>
      <c r="N334" s="11">
        <v>340</v>
      </c>
    </row>
    <row r="335" spans="1:50" x14ac:dyDescent="0.25">
      <c r="A335">
        <v>323</v>
      </c>
      <c r="C335" s="11">
        <v>80</v>
      </c>
      <c r="M335">
        <v>323</v>
      </c>
      <c r="N335" s="11">
        <v>80</v>
      </c>
    </row>
    <row r="336" spans="1:50" x14ac:dyDescent="0.25">
      <c r="A336">
        <v>324</v>
      </c>
      <c r="C336" s="11">
        <v>190</v>
      </c>
      <c r="M336">
        <v>324</v>
      </c>
      <c r="N336" s="11">
        <v>190</v>
      </c>
    </row>
    <row r="337" spans="1:59" x14ac:dyDescent="0.25">
      <c r="A337">
        <v>325</v>
      </c>
      <c r="B337" s="11">
        <v>5</v>
      </c>
      <c r="U337">
        <v>325</v>
      </c>
      <c r="W337" s="11">
        <v>5</v>
      </c>
    </row>
    <row r="338" spans="1:59" x14ac:dyDescent="0.25">
      <c r="A338">
        <v>326</v>
      </c>
      <c r="B338" s="11">
        <v>8.5</v>
      </c>
      <c r="Q338">
        <v>326</v>
      </c>
      <c r="S338" s="11">
        <v>8.5</v>
      </c>
    </row>
    <row r="339" spans="1:59" x14ac:dyDescent="0.25">
      <c r="A339">
        <v>327</v>
      </c>
      <c r="B339" s="11">
        <v>752</v>
      </c>
      <c r="E339">
        <v>327</v>
      </c>
      <c r="G339" s="11">
        <v>752</v>
      </c>
    </row>
    <row r="340" spans="1:59" x14ac:dyDescent="0.25">
      <c r="A340">
        <v>328</v>
      </c>
      <c r="B340" s="11">
        <v>5792</v>
      </c>
      <c r="E340">
        <v>328</v>
      </c>
      <c r="G340" s="11">
        <v>5792</v>
      </c>
    </row>
    <row r="341" spans="1:59" x14ac:dyDescent="0.25">
      <c r="A341">
        <v>329</v>
      </c>
      <c r="B341" s="11">
        <v>25</v>
      </c>
      <c r="AG341">
        <v>329</v>
      </c>
      <c r="AI341" s="11">
        <v>25</v>
      </c>
    </row>
    <row r="342" spans="1:59" x14ac:dyDescent="0.25">
      <c r="A342">
        <v>330</v>
      </c>
      <c r="C342" s="11">
        <v>100</v>
      </c>
      <c r="M342">
        <v>330</v>
      </c>
      <c r="N342" s="11">
        <v>100</v>
      </c>
    </row>
    <row r="343" spans="1:59" x14ac:dyDescent="0.25">
      <c r="A343">
        <v>331</v>
      </c>
      <c r="C343" s="11">
        <v>260</v>
      </c>
      <c r="M343">
        <v>331</v>
      </c>
      <c r="N343" s="11">
        <v>260</v>
      </c>
    </row>
    <row r="344" spans="1:59" s="87" customFormat="1" x14ac:dyDescent="0.25">
      <c r="A344" s="87">
        <v>332</v>
      </c>
      <c r="B344" s="100"/>
      <c r="C344" s="100">
        <v>1073</v>
      </c>
      <c r="F344" s="100"/>
      <c r="G344" s="100"/>
      <c r="I344" s="87">
        <v>332</v>
      </c>
      <c r="J344" s="100">
        <v>1073</v>
      </c>
      <c r="K344" s="100"/>
      <c r="N344" s="100"/>
      <c r="O344" s="100"/>
      <c r="R344" s="100"/>
      <c r="S344" s="100"/>
      <c r="V344" s="100"/>
      <c r="W344" s="100"/>
      <c r="Z344" s="100"/>
      <c r="AA344" s="100"/>
      <c r="AD344" s="100"/>
      <c r="AE344" s="100"/>
      <c r="AH344" s="100"/>
      <c r="AI344" s="100"/>
      <c r="AL344" s="100"/>
      <c r="AM344" s="100"/>
      <c r="AP344" s="100"/>
      <c r="AQ344" s="100"/>
      <c r="AT344" s="100"/>
      <c r="AU344" s="100"/>
      <c r="AX344" s="100"/>
      <c r="AY344" s="100"/>
      <c r="BB344" s="100"/>
      <c r="BC344" s="100"/>
      <c r="BF344" s="100"/>
      <c r="BG344" s="100"/>
    </row>
    <row r="345" spans="1:59" x14ac:dyDescent="0.25">
      <c r="A345">
        <v>333</v>
      </c>
      <c r="C345" s="11">
        <v>935</v>
      </c>
      <c r="I345">
        <v>333</v>
      </c>
      <c r="J345" s="11">
        <v>935</v>
      </c>
    </row>
    <row r="346" spans="1:59" x14ac:dyDescent="0.25">
      <c r="A346">
        <v>334</v>
      </c>
      <c r="B346" s="11">
        <v>9</v>
      </c>
      <c r="Q346">
        <v>334</v>
      </c>
      <c r="S346" s="11">
        <v>9</v>
      </c>
    </row>
    <row r="347" spans="1:59" x14ac:dyDescent="0.25">
      <c r="A347">
        <v>335</v>
      </c>
      <c r="C347" s="11">
        <v>8</v>
      </c>
      <c r="Q347">
        <v>335</v>
      </c>
      <c r="R347" s="11">
        <v>8</v>
      </c>
    </row>
    <row r="348" spans="1:59" x14ac:dyDescent="0.25">
      <c r="A348">
        <v>336</v>
      </c>
      <c r="C348" s="11">
        <v>100</v>
      </c>
      <c r="M348">
        <v>336</v>
      </c>
      <c r="N348" s="11">
        <v>100</v>
      </c>
    </row>
    <row r="349" spans="1:59" x14ac:dyDescent="0.25">
      <c r="A349">
        <v>337</v>
      </c>
      <c r="B349" s="11">
        <v>6.2</v>
      </c>
      <c r="Q349">
        <v>337</v>
      </c>
      <c r="S349" s="11">
        <v>6.2</v>
      </c>
    </row>
    <row r="350" spans="1:59" x14ac:dyDescent="0.25">
      <c r="A350">
        <v>338</v>
      </c>
      <c r="B350" s="11">
        <v>155.9</v>
      </c>
      <c r="Y350">
        <v>338</v>
      </c>
      <c r="AA350" s="11">
        <v>155.9</v>
      </c>
    </row>
    <row r="351" spans="1:59" x14ac:dyDescent="0.25">
      <c r="A351">
        <v>339</v>
      </c>
      <c r="B351" s="11">
        <v>480</v>
      </c>
      <c r="AK351">
        <v>339</v>
      </c>
      <c r="AM351" s="11">
        <v>480</v>
      </c>
    </row>
    <row r="352" spans="1:59" x14ac:dyDescent="0.25">
      <c r="A352">
        <v>340</v>
      </c>
      <c r="B352" s="11">
        <v>30</v>
      </c>
      <c r="U352">
        <v>340</v>
      </c>
      <c r="W352" s="11">
        <v>30</v>
      </c>
    </row>
    <row r="353" spans="1:59" x14ac:dyDescent="0.25">
      <c r="A353">
        <v>341</v>
      </c>
      <c r="C353" s="11">
        <v>75</v>
      </c>
      <c r="M353">
        <v>341</v>
      </c>
      <c r="N353" s="11">
        <v>75</v>
      </c>
    </row>
    <row r="354" spans="1:59" x14ac:dyDescent="0.25">
      <c r="A354">
        <v>342</v>
      </c>
      <c r="C354" s="11">
        <v>75</v>
      </c>
      <c r="M354">
        <v>342</v>
      </c>
      <c r="N354" s="11">
        <v>75</v>
      </c>
    </row>
    <row r="355" spans="1:59" x14ac:dyDescent="0.25">
      <c r="A355">
        <v>343</v>
      </c>
      <c r="C355" s="11">
        <v>75</v>
      </c>
      <c r="M355">
        <v>343</v>
      </c>
      <c r="N355" s="11">
        <v>75</v>
      </c>
    </row>
    <row r="356" spans="1:59" x14ac:dyDescent="0.25">
      <c r="A356">
        <v>344</v>
      </c>
      <c r="B356" s="11">
        <v>44</v>
      </c>
      <c r="AC356">
        <v>344</v>
      </c>
      <c r="AE356" s="11">
        <v>44</v>
      </c>
    </row>
    <row r="357" spans="1:59" x14ac:dyDescent="0.25">
      <c r="A357">
        <v>345</v>
      </c>
      <c r="B357" s="11">
        <v>19</v>
      </c>
      <c r="Y357">
        <v>345</v>
      </c>
      <c r="AA357" s="11">
        <v>19</v>
      </c>
    </row>
    <row r="358" spans="1:59" x14ac:dyDescent="0.25">
      <c r="A358">
        <v>346</v>
      </c>
      <c r="B358" s="11">
        <v>9</v>
      </c>
      <c r="U358">
        <v>346</v>
      </c>
      <c r="W358" s="11">
        <v>9</v>
      </c>
    </row>
    <row r="359" spans="1:59" x14ac:dyDescent="0.25">
      <c r="A359">
        <v>347</v>
      </c>
      <c r="B359" s="11">
        <v>2.4</v>
      </c>
      <c r="Q359">
        <v>347</v>
      </c>
      <c r="S359" s="11">
        <v>2.4</v>
      </c>
    </row>
    <row r="360" spans="1:59" x14ac:dyDescent="0.25">
      <c r="A360">
        <v>348</v>
      </c>
      <c r="B360" s="11">
        <v>50</v>
      </c>
      <c r="U360">
        <v>348</v>
      </c>
      <c r="W360" s="11">
        <v>50</v>
      </c>
    </row>
    <row r="361" spans="1:59" x14ac:dyDescent="0.25">
      <c r="A361">
        <v>349</v>
      </c>
      <c r="C361" s="11">
        <v>20</v>
      </c>
      <c r="E361">
        <v>349</v>
      </c>
      <c r="F361" s="11">
        <v>20</v>
      </c>
    </row>
    <row r="362" spans="1:59" x14ac:dyDescent="0.25">
      <c r="A362">
        <v>350</v>
      </c>
      <c r="B362" s="11">
        <v>50</v>
      </c>
      <c r="U362">
        <v>350</v>
      </c>
      <c r="W362" s="11">
        <v>50</v>
      </c>
    </row>
    <row r="363" spans="1:59" x14ac:dyDescent="0.25">
      <c r="A363">
        <v>351</v>
      </c>
      <c r="B363" s="11">
        <v>19</v>
      </c>
      <c r="U363">
        <v>351</v>
      </c>
      <c r="W363" s="11">
        <v>19</v>
      </c>
    </row>
    <row r="364" spans="1:59" x14ac:dyDescent="0.25">
      <c r="A364">
        <v>352</v>
      </c>
      <c r="C364" s="11">
        <v>75</v>
      </c>
      <c r="M364">
        <v>352</v>
      </c>
      <c r="N364" s="11">
        <v>75</v>
      </c>
    </row>
    <row r="365" spans="1:59" x14ac:dyDescent="0.25">
      <c r="A365">
        <v>353</v>
      </c>
      <c r="C365" s="11">
        <v>75</v>
      </c>
      <c r="M365">
        <v>353</v>
      </c>
      <c r="N365" s="11">
        <v>75</v>
      </c>
    </row>
    <row r="366" spans="1:59" x14ac:dyDescent="0.25">
      <c r="A366">
        <v>354</v>
      </c>
      <c r="B366" s="11">
        <v>157.62</v>
      </c>
      <c r="D366" s="96" t="s">
        <v>295</v>
      </c>
      <c r="AS366">
        <v>354</v>
      </c>
      <c r="AU366" s="11">
        <v>157.62</v>
      </c>
    </row>
    <row r="367" spans="1:59" x14ac:dyDescent="0.25">
      <c r="A367">
        <v>355</v>
      </c>
      <c r="B367" s="95">
        <v>173.76</v>
      </c>
      <c r="C367" s="95"/>
      <c r="D367" s="96">
        <f>D187+D368</f>
        <v>9423.1799999999985</v>
      </c>
      <c r="F367" s="95"/>
      <c r="G367" s="95"/>
      <c r="J367" s="95"/>
      <c r="K367" s="95"/>
      <c r="N367" s="95"/>
      <c r="O367" s="95"/>
      <c r="R367" s="95"/>
      <c r="S367" s="95"/>
      <c r="U367">
        <v>355</v>
      </c>
      <c r="V367" s="95"/>
      <c r="W367" s="95">
        <v>173.76</v>
      </c>
      <c r="Z367" s="95"/>
      <c r="AA367" s="95"/>
      <c r="AD367" s="95"/>
      <c r="AE367" s="95"/>
      <c r="AH367" s="95"/>
      <c r="AI367" s="95"/>
      <c r="AL367" s="95"/>
      <c r="AM367" s="95"/>
      <c r="AP367" s="95"/>
      <c r="AQ367" s="95"/>
      <c r="AT367" s="95"/>
      <c r="AU367" s="95"/>
      <c r="AX367" s="95"/>
      <c r="AY367" s="95"/>
      <c r="BB367" s="95"/>
      <c r="BC367" s="95"/>
      <c r="BF367" s="95"/>
      <c r="BG367" s="95"/>
    </row>
    <row r="368" spans="1:59" ht="15.75" thickBot="1" x14ac:dyDescent="0.3">
      <c r="A368" s="49" t="s">
        <v>293</v>
      </c>
      <c r="B368" s="97">
        <f>SUM(B191:B367)</f>
        <v>13334.66</v>
      </c>
      <c r="C368" s="97">
        <f>SUM(C191:C367)</f>
        <v>15717.15</v>
      </c>
      <c r="D368" s="87">
        <f>C368-B368</f>
        <v>2382.4899999999998</v>
      </c>
      <c r="E368" s="49" t="s">
        <v>293</v>
      </c>
      <c r="F368" s="97">
        <f>SUM(F191:F367)</f>
        <v>20</v>
      </c>
      <c r="G368" s="97">
        <f>SUM(G191:G367)</f>
        <v>7837.13</v>
      </c>
      <c r="H368" s="49"/>
      <c r="I368" s="49" t="s">
        <v>293</v>
      </c>
      <c r="J368" s="97">
        <f>SUM(J191:J367)</f>
        <v>5589</v>
      </c>
      <c r="K368" s="97">
        <f>SUM(K191:K367)</f>
        <v>0</v>
      </c>
      <c r="L368" s="49"/>
      <c r="M368" s="49" t="s">
        <v>293</v>
      </c>
      <c r="N368" s="97">
        <f>SUM(N191:N367)</f>
        <v>9887</v>
      </c>
      <c r="O368" s="97">
        <f>SUM(O191:O367)</f>
        <v>0</v>
      </c>
      <c r="P368" s="49"/>
      <c r="Q368" s="49" t="s">
        <v>293</v>
      </c>
      <c r="R368" s="97">
        <f>SUM(R191:R367)</f>
        <v>43</v>
      </c>
      <c r="S368" s="97">
        <f>SUM(S191:S367)</f>
        <v>205.2</v>
      </c>
      <c r="T368" s="49"/>
      <c r="U368" s="49" t="s">
        <v>293</v>
      </c>
      <c r="V368" s="97">
        <f>SUM(V191:V367)</f>
        <v>20</v>
      </c>
      <c r="W368" s="97">
        <f>SUM(W191:W367)</f>
        <v>1186.58</v>
      </c>
      <c r="X368" s="49"/>
      <c r="Y368" s="49" t="s">
        <v>293</v>
      </c>
      <c r="Z368" s="97">
        <f>SUM(Z191:Z367)</f>
        <v>8.15</v>
      </c>
      <c r="AA368" s="97">
        <f>SUM(AA191:AA367)</f>
        <v>993.12999999999977</v>
      </c>
      <c r="AB368" s="49"/>
      <c r="AC368" s="49" t="s">
        <v>293</v>
      </c>
      <c r="AD368" s="97">
        <f>SUM(AD191:AD366)</f>
        <v>0</v>
      </c>
      <c r="AE368" s="97">
        <f>SUM(AE191:AE366)</f>
        <v>275</v>
      </c>
      <c r="AF368" s="49"/>
      <c r="AG368" s="49" t="s">
        <v>293</v>
      </c>
      <c r="AH368" s="97">
        <f>SUM(AH191:AH366)</f>
        <v>0</v>
      </c>
      <c r="AI368" s="97">
        <f>SUM(AI191:AI366)</f>
        <v>25</v>
      </c>
      <c r="AJ368" s="49"/>
      <c r="AK368" s="49" t="s">
        <v>293</v>
      </c>
      <c r="AL368" s="97">
        <f>SUM(AL191:AL366)</f>
        <v>0</v>
      </c>
      <c r="AM368" s="97">
        <f>SUM(AM191:AM366)</f>
        <v>655</v>
      </c>
      <c r="AN368" s="49"/>
      <c r="AO368" s="49" t="s">
        <v>293</v>
      </c>
      <c r="AP368" s="97">
        <f>SUM(AP191:AP366)</f>
        <v>0</v>
      </c>
      <c r="AQ368" s="97">
        <f>SUM(AQ191:AQ366)</f>
        <v>0</v>
      </c>
      <c r="AR368" s="49"/>
      <c r="AS368" s="49" t="s">
        <v>293</v>
      </c>
      <c r="AT368" s="97">
        <f>SUM(AT191:AT366)</f>
        <v>0</v>
      </c>
      <c r="AU368" s="97">
        <f>SUM(AU191:AU366)</f>
        <v>157.62</v>
      </c>
      <c r="AV368" s="49"/>
      <c r="AW368" s="49" t="s">
        <v>293</v>
      </c>
      <c r="AX368" s="97">
        <f>SUM(AX191:AX366)</f>
        <v>150</v>
      </c>
      <c r="AY368" s="97">
        <f>SUM(AY191:AY366)</f>
        <v>2000</v>
      </c>
      <c r="AZ368" s="49"/>
      <c r="BA368" s="49" t="s">
        <v>293</v>
      </c>
      <c r="BB368" s="97">
        <f>SUM(BB191:BB366)</f>
        <v>0</v>
      </c>
      <c r="BC368" s="97">
        <f>SUM(BC191:BC366)</f>
        <v>0</v>
      </c>
      <c r="BE368" s="49" t="s">
        <v>293</v>
      </c>
      <c r="BF368" s="97">
        <f>SUM(BF191:BF366)</f>
        <v>0</v>
      </c>
      <c r="BG368" s="97">
        <f>SUM(BG191:BG366)</f>
        <v>0</v>
      </c>
    </row>
    <row r="369" spans="1:59" x14ac:dyDescent="0.25">
      <c r="A369" s="137" t="s">
        <v>291</v>
      </c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  <c r="AD369" s="138"/>
      <c r="AE369" s="138"/>
      <c r="AF369" s="138"/>
      <c r="AG369" s="138"/>
      <c r="AH369" s="138"/>
      <c r="AI369" s="138"/>
      <c r="AJ369" s="138"/>
      <c r="AK369" s="138"/>
      <c r="AL369" s="138"/>
      <c r="AM369" s="138"/>
      <c r="AN369" s="138"/>
      <c r="AO369" s="138"/>
      <c r="AP369" s="138"/>
      <c r="AQ369" s="138"/>
      <c r="AR369" s="138"/>
      <c r="AS369" s="138"/>
      <c r="AT369" s="138"/>
      <c r="AU369" s="138"/>
      <c r="AV369" s="138"/>
      <c r="AW369" s="138"/>
      <c r="AX369" s="138"/>
      <c r="AY369" s="138"/>
      <c r="AZ369" s="138"/>
      <c r="BA369" s="138"/>
      <c r="BB369" s="138"/>
      <c r="BC369" s="138"/>
      <c r="BD369" s="138"/>
      <c r="BE369" s="138"/>
      <c r="BF369" s="138"/>
      <c r="BG369" s="139"/>
    </row>
    <row r="370" spans="1:59" ht="15.75" thickBot="1" x14ac:dyDescent="0.3">
      <c r="A370" s="140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  <c r="AD370" s="141"/>
      <c r="AE370" s="141"/>
      <c r="AF370" s="141"/>
      <c r="AG370" s="141"/>
      <c r="AH370" s="141"/>
      <c r="AI370" s="141"/>
      <c r="AJ370" s="141"/>
      <c r="AK370" s="141"/>
      <c r="AL370" s="141"/>
      <c r="AM370" s="141"/>
      <c r="AN370" s="141"/>
      <c r="AO370" s="141"/>
      <c r="AP370" s="141"/>
      <c r="AQ370" s="141"/>
      <c r="AR370" s="141"/>
      <c r="AS370" s="141"/>
      <c r="AT370" s="141"/>
      <c r="AU370" s="141"/>
      <c r="AV370" s="141"/>
      <c r="AW370" s="141"/>
      <c r="AX370" s="141"/>
      <c r="AY370" s="141"/>
      <c r="AZ370" s="141"/>
      <c r="BA370" s="141"/>
      <c r="BB370" s="141"/>
      <c r="BC370" s="141"/>
      <c r="BD370" s="141"/>
      <c r="BE370" s="141"/>
      <c r="BF370" s="141"/>
      <c r="BG370" s="142"/>
    </row>
    <row r="371" spans="1:59" x14ac:dyDescent="0.25">
      <c r="A371">
        <v>355</v>
      </c>
      <c r="C371" s="11">
        <v>3.54</v>
      </c>
      <c r="U371">
        <v>355</v>
      </c>
      <c r="V371" s="11">
        <v>3.54</v>
      </c>
    </row>
    <row r="372" spans="1:59" x14ac:dyDescent="0.25">
      <c r="A372">
        <v>356</v>
      </c>
      <c r="B372" s="11">
        <v>14.86</v>
      </c>
      <c r="U372">
        <v>356</v>
      </c>
      <c r="W372" s="11">
        <v>14.86</v>
      </c>
    </row>
    <row r="373" spans="1:59" x14ac:dyDescent="0.25">
      <c r="A373">
        <v>357</v>
      </c>
      <c r="B373" s="11">
        <v>847.13</v>
      </c>
      <c r="E373">
        <v>357</v>
      </c>
      <c r="G373" s="11">
        <v>847.13</v>
      </c>
    </row>
    <row r="374" spans="1:59" x14ac:dyDescent="0.25">
      <c r="A374">
        <v>358</v>
      </c>
      <c r="C374" s="11">
        <v>75</v>
      </c>
      <c r="M374">
        <v>358</v>
      </c>
      <c r="N374" s="11">
        <v>75</v>
      </c>
    </row>
    <row r="375" spans="1:59" x14ac:dyDescent="0.25">
      <c r="A375">
        <v>359</v>
      </c>
      <c r="C375" s="11">
        <v>75</v>
      </c>
      <c r="M375">
        <v>359</v>
      </c>
      <c r="N375" s="11">
        <v>75</v>
      </c>
    </row>
    <row r="376" spans="1:59" x14ac:dyDescent="0.25">
      <c r="A376">
        <v>360</v>
      </c>
      <c r="B376" s="11">
        <v>3</v>
      </c>
      <c r="Q376">
        <v>360</v>
      </c>
      <c r="S376" s="11">
        <v>3</v>
      </c>
    </row>
    <row r="377" spans="1:59" x14ac:dyDescent="0.25">
      <c r="A377">
        <v>361</v>
      </c>
      <c r="B377" s="11">
        <v>46</v>
      </c>
      <c r="Y377">
        <v>361</v>
      </c>
      <c r="AA377" s="11">
        <v>46</v>
      </c>
    </row>
    <row r="378" spans="1:59" x14ac:dyDescent="0.25">
      <c r="A378">
        <v>362</v>
      </c>
      <c r="B378" s="11">
        <v>28.5</v>
      </c>
      <c r="U378">
        <v>362</v>
      </c>
      <c r="W378" s="11">
        <v>28.5</v>
      </c>
    </row>
    <row r="379" spans="1:59" x14ac:dyDescent="0.25">
      <c r="A379">
        <v>363</v>
      </c>
      <c r="C379" s="11">
        <v>180</v>
      </c>
      <c r="M379">
        <v>363</v>
      </c>
      <c r="N379" s="11">
        <v>180</v>
      </c>
    </row>
    <row r="380" spans="1:59" x14ac:dyDescent="0.25">
      <c r="A380">
        <v>364</v>
      </c>
      <c r="C380" s="11">
        <v>800</v>
      </c>
      <c r="I380">
        <v>364</v>
      </c>
      <c r="J380" s="11">
        <v>800</v>
      </c>
    </row>
    <row r="381" spans="1:59" x14ac:dyDescent="0.25">
      <c r="A381">
        <v>365</v>
      </c>
      <c r="C381" s="11">
        <v>75</v>
      </c>
      <c r="M381">
        <v>365</v>
      </c>
      <c r="N381" s="11">
        <v>75</v>
      </c>
    </row>
    <row r="382" spans="1:59" x14ac:dyDescent="0.25">
      <c r="A382">
        <v>366</v>
      </c>
      <c r="B382" s="11">
        <v>97</v>
      </c>
      <c r="E382">
        <v>366</v>
      </c>
      <c r="G382" s="11">
        <v>97</v>
      </c>
    </row>
    <row r="383" spans="1:59" x14ac:dyDescent="0.25">
      <c r="A383">
        <v>367</v>
      </c>
      <c r="C383" s="11">
        <v>100</v>
      </c>
      <c r="M383">
        <v>367</v>
      </c>
      <c r="N383" s="11">
        <v>100</v>
      </c>
    </row>
    <row r="384" spans="1:59" x14ac:dyDescent="0.25">
      <c r="A384">
        <v>368</v>
      </c>
      <c r="B384" s="11">
        <v>9.6</v>
      </c>
      <c r="Q384">
        <v>368</v>
      </c>
      <c r="S384" s="11">
        <v>9.6</v>
      </c>
    </row>
    <row r="385" spans="1:27" x14ac:dyDescent="0.25">
      <c r="A385">
        <v>369</v>
      </c>
      <c r="C385" s="11">
        <v>1242</v>
      </c>
      <c r="I385">
        <v>369</v>
      </c>
      <c r="J385" s="11">
        <v>1242</v>
      </c>
    </row>
    <row r="386" spans="1:27" x14ac:dyDescent="0.25">
      <c r="A386">
        <v>370</v>
      </c>
      <c r="C386" s="11">
        <v>75</v>
      </c>
      <c r="M386">
        <v>370</v>
      </c>
      <c r="N386" s="11">
        <v>75</v>
      </c>
    </row>
    <row r="387" spans="1:27" x14ac:dyDescent="0.25">
      <c r="A387">
        <v>371</v>
      </c>
      <c r="C387" s="11">
        <v>100</v>
      </c>
      <c r="M387">
        <v>371</v>
      </c>
      <c r="N387" s="11">
        <v>100</v>
      </c>
    </row>
    <row r="388" spans="1:27" x14ac:dyDescent="0.25">
      <c r="A388">
        <v>372</v>
      </c>
      <c r="B388" s="11">
        <v>13.5</v>
      </c>
      <c r="Q388">
        <v>372</v>
      </c>
      <c r="S388" s="11">
        <v>13.5</v>
      </c>
    </row>
    <row r="389" spans="1:27" x14ac:dyDescent="0.25">
      <c r="A389">
        <v>373</v>
      </c>
      <c r="C389" s="11">
        <v>898</v>
      </c>
      <c r="I389">
        <v>373</v>
      </c>
      <c r="J389" s="11">
        <v>898</v>
      </c>
    </row>
    <row r="390" spans="1:27" x14ac:dyDescent="0.25">
      <c r="A390">
        <v>374</v>
      </c>
      <c r="B390" s="11">
        <v>102.9</v>
      </c>
      <c r="Y390">
        <v>374</v>
      </c>
      <c r="AA390" s="11">
        <v>102.9</v>
      </c>
    </row>
    <row r="391" spans="1:27" x14ac:dyDescent="0.25">
      <c r="A391">
        <v>375</v>
      </c>
      <c r="B391" s="11">
        <v>35</v>
      </c>
      <c r="U391">
        <v>375</v>
      </c>
      <c r="W391" s="11">
        <v>35</v>
      </c>
    </row>
    <row r="392" spans="1:27" x14ac:dyDescent="0.25">
      <c r="A392">
        <v>376</v>
      </c>
      <c r="B392" s="11">
        <v>11</v>
      </c>
      <c r="U392">
        <v>376</v>
      </c>
      <c r="W392" s="11">
        <v>11</v>
      </c>
    </row>
    <row r="393" spans="1:27" x14ac:dyDescent="0.25">
      <c r="A393">
        <v>377</v>
      </c>
      <c r="B393" s="11">
        <v>44.8</v>
      </c>
      <c r="Q393">
        <v>377</v>
      </c>
      <c r="S393" s="11">
        <v>44.8</v>
      </c>
    </row>
    <row r="394" spans="1:27" x14ac:dyDescent="0.25">
      <c r="A394">
        <v>378</v>
      </c>
      <c r="C394" s="11">
        <v>100</v>
      </c>
      <c r="M394">
        <v>378</v>
      </c>
      <c r="N394" s="11">
        <v>100</v>
      </c>
    </row>
    <row r="395" spans="1:27" x14ac:dyDescent="0.25">
      <c r="A395">
        <v>379</v>
      </c>
      <c r="C395" s="11">
        <v>405</v>
      </c>
      <c r="I395">
        <v>379</v>
      </c>
      <c r="J395" s="11">
        <v>405</v>
      </c>
    </row>
    <row r="396" spans="1:27" x14ac:dyDescent="0.25">
      <c r="A396">
        <v>380</v>
      </c>
      <c r="B396" s="11">
        <v>1.8</v>
      </c>
      <c r="Q396">
        <v>380</v>
      </c>
      <c r="S396" s="11">
        <v>1.8</v>
      </c>
    </row>
    <row r="397" spans="1:27" x14ac:dyDescent="0.25">
      <c r="A397">
        <v>381</v>
      </c>
      <c r="B397" s="11">
        <v>29</v>
      </c>
      <c r="U397">
        <v>381</v>
      </c>
      <c r="W397" s="11">
        <v>29</v>
      </c>
    </row>
    <row r="398" spans="1:27" x14ac:dyDescent="0.25">
      <c r="A398">
        <v>382</v>
      </c>
      <c r="B398" s="11">
        <v>10</v>
      </c>
      <c r="U398">
        <v>382</v>
      </c>
      <c r="W398" s="11">
        <v>10</v>
      </c>
    </row>
    <row r="399" spans="1:27" x14ac:dyDescent="0.25">
      <c r="A399">
        <v>383</v>
      </c>
      <c r="C399" s="11">
        <v>100</v>
      </c>
      <c r="M399">
        <v>383</v>
      </c>
      <c r="N399" s="11">
        <v>100</v>
      </c>
    </row>
    <row r="400" spans="1:27" x14ac:dyDescent="0.25">
      <c r="A400">
        <v>384</v>
      </c>
      <c r="C400" s="11">
        <v>3450</v>
      </c>
      <c r="I400">
        <v>384</v>
      </c>
      <c r="J400" s="11">
        <v>3450</v>
      </c>
    </row>
    <row r="401" spans="1:39" x14ac:dyDescent="0.25">
      <c r="A401">
        <v>385</v>
      </c>
      <c r="B401" s="11">
        <v>53.5</v>
      </c>
      <c r="Y401">
        <v>385</v>
      </c>
      <c r="AA401" s="11">
        <v>53.5</v>
      </c>
    </row>
    <row r="402" spans="1:39" x14ac:dyDescent="0.25">
      <c r="A402">
        <v>386</v>
      </c>
      <c r="C402" s="11">
        <v>10</v>
      </c>
      <c r="U402">
        <v>386</v>
      </c>
      <c r="V402" s="11">
        <v>10</v>
      </c>
    </row>
    <row r="403" spans="1:39" x14ac:dyDescent="0.25">
      <c r="A403">
        <v>387</v>
      </c>
      <c r="B403" s="11">
        <v>50</v>
      </c>
      <c r="Q403">
        <v>387</v>
      </c>
      <c r="S403" s="11">
        <v>50</v>
      </c>
    </row>
    <row r="404" spans="1:39" x14ac:dyDescent="0.25">
      <c r="A404">
        <v>388</v>
      </c>
      <c r="B404" s="11">
        <v>211.5</v>
      </c>
      <c r="E404">
        <v>388</v>
      </c>
      <c r="G404" s="11">
        <v>211.5</v>
      </c>
    </row>
    <row r="405" spans="1:39" x14ac:dyDescent="0.25">
      <c r="A405">
        <v>389</v>
      </c>
      <c r="B405" s="11">
        <v>6</v>
      </c>
      <c r="U405">
        <v>389</v>
      </c>
      <c r="W405" s="11">
        <v>6</v>
      </c>
    </row>
    <row r="406" spans="1:39" x14ac:dyDescent="0.25">
      <c r="A406">
        <v>390</v>
      </c>
      <c r="C406" s="11">
        <v>434</v>
      </c>
      <c r="I406">
        <v>390</v>
      </c>
      <c r="J406" s="11">
        <v>434</v>
      </c>
    </row>
    <row r="407" spans="1:39" x14ac:dyDescent="0.25">
      <c r="A407">
        <v>391</v>
      </c>
      <c r="B407" s="11">
        <v>1.9</v>
      </c>
      <c r="Q407">
        <v>391</v>
      </c>
      <c r="S407" s="11">
        <v>1.9</v>
      </c>
    </row>
    <row r="408" spans="1:39" x14ac:dyDescent="0.25">
      <c r="A408">
        <v>392</v>
      </c>
      <c r="B408" s="11">
        <v>40</v>
      </c>
      <c r="U408">
        <v>392</v>
      </c>
      <c r="W408" s="11">
        <v>40</v>
      </c>
    </row>
    <row r="409" spans="1:39" x14ac:dyDescent="0.25">
      <c r="A409">
        <v>393</v>
      </c>
      <c r="B409" s="11">
        <v>230</v>
      </c>
      <c r="E409">
        <v>393</v>
      </c>
      <c r="G409" s="11">
        <v>230</v>
      </c>
    </row>
    <row r="410" spans="1:39" x14ac:dyDescent="0.25">
      <c r="A410">
        <v>394</v>
      </c>
      <c r="C410" s="11">
        <v>216</v>
      </c>
      <c r="I410">
        <v>394</v>
      </c>
      <c r="J410" s="11">
        <v>216</v>
      </c>
    </row>
    <row r="411" spans="1:39" x14ac:dyDescent="0.25">
      <c r="A411">
        <v>395</v>
      </c>
      <c r="B411" s="11">
        <v>21</v>
      </c>
      <c r="U411">
        <v>395</v>
      </c>
      <c r="W411" s="11">
        <v>21</v>
      </c>
    </row>
    <row r="412" spans="1:39" x14ac:dyDescent="0.25">
      <c r="A412">
        <v>396</v>
      </c>
      <c r="B412" s="11">
        <v>4.9000000000000004</v>
      </c>
      <c r="Q412">
        <v>396</v>
      </c>
      <c r="S412" s="11">
        <v>4.9000000000000004</v>
      </c>
    </row>
    <row r="413" spans="1:39" x14ac:dyDescent="0.25">
      <c r="A413">
        <v>397</v>
      </c>
      <c r="B413" s="11">
        <v>72</v>
      </c>
      <c r="U413">
        <v>397</v>
      </c>
      <c r="W413" s="11">
        <v>72</v>
      </c>
    </row>
    <row r="414" spans="1:39" x14ac:dyDescent="0.25">
      <c r="A414">
        <v>398</v>
      </c>
      <c r="B414" s="11">
        <v>30</v>
      </c>
      <c r="AK414">
        <v>398</v>
      </c>
      <c r="AM414" s="11">
        <v>30</v>
      </c>
    </row>
    <row r="415" spans="1:39" x14ac:dyDescent="0.25">
      <c r="A415">
        <v>399</v>
      </c>
      <c r="B415" s="11">
        <v>118.8</v>
      </c>
      <c r="Y415">
        <v>399</v>
      </c>
      <c r="AA415" s="11">
        <v>118.8</v>
      </c>
    </row>
    <row r="416" spans="1:39" x14ac:dyDescent="0.25">
      <c r="A416">
        <v>400</v>
      </c>
      <c r="C416" s="11">
        <v>75</v>
      </c>
      <c r="M416">
        <v>400</v>
      </c>
      <c r="N416" s="11">
        <v>75</v>
      </c>
    </row>
    <row r="417" spans="1:35" x14ac:dyDescent="0.25">
      <c r="A417">
        <v>401</v>
      </c>
      <c r="B417" s="11">
        <v>10480</v>
      </c>
      <c r="E417">
        <v>401</v>
      </c>
      <c r="G417" s="11">
        <v>10480</v>
      </c>
    </row>
    <row r="418" spans="1:35" x14ac:dyDescent="0.25">
      <c r="A418">
        <v>402</v>
      </c>
      <c r="B418" s="11">
        <v>30.4</v>
      </c>
      <c r="AG418">
        <v>402</v>
      </c>
      <c r="AI418" s="11">
        <v>30.4</v>
      </c>
    </row>
    <row r="419" spans="1:35" x14ac:dyDescent="0.25">
      <c r="A419">
        <v>403</v>
      </c>
      <c r="C419" s="11">
        <v>1675</v>
      </c>
      <c r="I419">
        <v>403</v>
      </c>
      <c r="J419" s="11">
        <v>1675</v>
      </c>
    </row>
    <row r="420" spans="1:35" x14ac:dyDescent="0.25">
      <c r="A420">
        <v>404</v>
      </c>
      <c r="B420" s="11">
        <v>688</v>
      </c>
      <c r="E420">
        <v>404</v>
      </c>
      <c r="G420" s="11">
        <v>688</v>
      </c>
    </row>
    <row r="421" spans="1:35" x14ac:dyDescent="0.25">
      <c r="A421">
        <v>405</v>
      </c>
      <c r="B421" s="11">
        <v>9.1</v>
      </c>
      <c r="Q421">
        <v>405</v>
      </c>
      <c r="S421" s="11">
        <v>9.1</v>
      </c>
    </row>
    <row r="422" spans="1:35" x14ac:dyDescent="0.25">
      <c r="A422">
        <v>406</v>
      </c>
      <c r="B422" s="11">
        <v>10</v>
      </c>
      <c r="U422">
        <v>406</v>
      </c>
      <c r="W422" s="11">
        <v>10</v>
      </c>
    </row>
    <row r="423" spans="1:35" x14ac:dyDescent="0.25">
      <c r="A423">
        <v>407</v>
      </c>
      <c r="B423" s="11">
        <v>41.4</v>
      </c>
      <c r="Y423">
        <v>407</v>
      </c>
      <c r="AA423" s="11">
        <v>41.4</v>
      </c>
    </row>
    <row r="424" spans="1:35" x14ac:dyDescent="0.25">
      <c r="A424">
        <v>408</v>
      </c>
      <c r="C424" s="11">
        <v>807</v>
      </c>
      <c r="I424">
        <v>408</v>
      </c>
      <c r="J424" s="11">
        <v>807</v>
      </c>
    </row>
    <row r="425" spans="1:35" x14ac:dyDescent="0.25">
      <c r="A425">
        <v>409</v>
      </c>
      <c r="B425" s="11">
        <v>7.2</v>
      </c>
      <c r="Q425">
        <v>409</v>
      </c>
      <c r="S425" s="11">
        <v>7.2</v>
      </c>
    </row>
    <row r="426" spans="1:35" x14ac:dyDescent="0.25">
      <c r="A426">
        <v>410</v>
      </c>
      <c r="B426" s="11">
        <v>35</v>
      </c>
      <c r="U426">
        <v>410</v>
      </c>
      <c r="W426" s="11">
        <v>35</v>
      </c>
    </row>
    <row r="427" spans="1:35" x14ac:dyDescent="0.25">
      <c r="A427">
        <v>411</v>
      </c>
      <c r="B427" s="11">
        <v>25</v>
      </c>
      <c r="E427">
        <v>411</v>
      </c>
      <c r="G427" s="11">
        <v>25</v>
      </c>
    </row>
    <row r="428" spans="1:35" x14ac:dyDescent="0.25">
      <c r="A428">
        <v>412</v>
      </c>
      <c r="C428" s="11">
        <v>75</v>
      </c>
      <c r="M428">
        <v>411</v>
      </c>
      <c r="N428" s="11">
        <v>75</v>
      </c>
    </row>
    <row r="429" spans="1:35" x14ac:dyDescent="0.25">
      <c r="A429">
        <v>413</v>
      </c>
      <c r="B429" s="11">
        <v>4.8</v>
      </c>
      <c r="Q429">
        <v>413</v>
      </c>
      <c r="S429" s="11">
        <v>4.8</v>
      </c>
    </row>
    <row r="430" spans="1:35" x14ac:dyDescent="0.25">
      <c r="A430">
        <v>414</v>
      </c>
      <c r="B430" s="11">
        <v>4</v>
      </c>
      <c r="U430">
        <v>414</v>
      </c>
      <c r="W430" s="11">
        <v>4</v>
      </c>
    </row>
    <row r="431" spans="1:35" x14ac:dyDescent="0.25">
      <c r="A431">
        <v>415</v>
      </c>
      <c r="C431" s="11">
        <v>80</v>
      </c>
      <c r="M431">
        <v>415</v>
      </c>
      <c r="N431" s="11">
        <v>80</v>
      </c>
    </row>
    <row r="432" spans="1:35" x14ac:dyDescent="0.25">
      <c r="A432">
        <v>416</v>
      </c>
      <c r="B432" s="11">
        <v>110</v>
      </c>
      <c r="U432">
        <v>416</v>
      </c>
      <c r="W432" s="11">
        <v>110</v>
      </c>
    </row>
    <row r="433" spans="1:55" x14ac:dyDescent="0.25">
      <c r="A433">
        <v>417</v>
      </c>
      <c r="B433" s="11">
        <v>10</v>
      </c>
      <c r="U433">
        <v>417</v>
      </c>
      <c r="W433" s="11">
        <v>10</v>
      </c>
    </row>
    <row r="434" spans="1:55" x14ac:dyDescent="0.25">
      <c r="A434">
        <v>418</v>
      </c>
      <c r="B434" s="11">
        <v>166.6</v>
      </c>
      <c r="Y434">
        <v>418</v>
      </c>
      <c r="AA434" s="11">
        <v>166.6</v>
      </c>
    </row>
    <row r="435" spans="1:55" x14ac:dyDescent="0.25">
      <c r="A435">
        <v>419</v>
      </c>
      <c r="B435" s="11">
        <v>2200</v>
      </c>
      <c r="BA435">
        <v>419</v>
      </c>
      <c r="BC435" s="11">
        <v>2200</v>
      </c>
    </row>
    <row r="436" spans="1:55" x14ac:dyDescent="0.25">
      <c r="A436">
        <v>420</v>
      </c>
      <c r="B436" s="11">
        <v>450</v>
      </c>
      <c r="U436">
        <v>420</v>
      </c>
      <c r="W436" s="11">
        <v>450</v>
      </c>
    </row>
    <row r="437" spans="1:55" x14ac:dyDescent="0.25">
      <c r="A437">
        <v>421</v>
      </c>
      <c r="B437" s="11">
        <v>44</v>
      </c>
      <c r="AC437">
        <v>421</v>
      </c>
      <c r="AE437" s="11">
        <v>44</v>
      </c>
    </row>
    <row r="438" spans="1:55" x14ac:dyDescent="0.25">
      <c r="A438">
        <v>422</v>
      </c>
      <c r="B438" s="11">
        <v>13.2</v>
      </c>
      <c r="Y438">
        <v>422</v>
      </c>
      <c r="AA438" s="11">
        <v>13.2</v>
      </c>
    </row>
    <row r="439" spans="1:55" x14ac:dyDescent="0.25">
      <c r="A439">
        <v>423</v>
      </c>
      <c r="B439" s="11">
        <v>12</v>
      </c>
      <c r="U439">
        <v>423</v>
      </c>
      <c r="W439" s="11">
        <v>12</v>
      </c>
    </row>
    <row r="440" spans="1:55" x14ac:dyDescent="0.25">
      <c r="A440">
        <v>424</v>
      </c>
      <c r="C440" s="11">
        <v>75</v>
      </c>
      <c r="M440">
        <v>424</v>
      </c>
      <c r="N440" s="11">
        <v>75</v>
      </c>
    </row>
    <row r="441" spans="1:55" x14ac:dyDescent="0.25">
      <c r="A441">
        <v>425</v>
      </c>
      <c r="C441" s="11">
        <v>50</v>
      </c>
      <c r="AW441">
        <v>425</v>
      </c>
      <c r="AX441" s="11">
        <v>50</v>
      </c>
    </row>
    <row r="442" spans="1:55" x14ac:dyDescent="0.25">
      <c r="A442">
        <v>426</v>
      </c>
      <c r="B442" s="11">
        <v>53</v>
      </c>
      <c r="U442">
        <v>426</v>
      </c>
      <c r="W442" s="11">
        <v>53</v>
      </c>
    </row>
    <row r="443" spans="1:55" x14ac:dyDescent="0.25">
      <c r="A443">
        <v>427</v>
      </c>
    </row>
    <row r="444" spans="1:55" x14ac:dyDescent="0.25">
      <c r="A444">
        <v>428</v>
      </c>
      <c r="B444" s="11">
        <v>10</v>
      </c>
      <c r="Y444">
        <v>428</v>
      </c>
      <c r="AA444" s="11">
        <v>10</v>
      </c>
    </row>
    <row r="445" spans="1:55" x14ac:dyDescent="0.25">
      <c r="A445">
        <v>429</v>
      </c>
      <c r="B445" s="11">
        <v>13</v>
      </c>
      <c r="U445">
        <v>429</v>
      </c>
      <c r="W445" s="11">
        <v>13</v>
      </c>
    </row>
    <row r="446" spans="1:55" x14ac:dyDescent="0.25">
      <c r="A446">
        <v>430</v>
      </c>
      <c r="B446" s="11">
        <v>170.7</v>
      </c>
      <c r="Y446">
        <v>430</v>
      </c>
      <c r="AA446" s="11">
        <v>170.7</v>
      </c>
    </row>
    <row r="447" spans="1:55" x14ac:dyDescent="0.25">
      <c r="A447">
        <v>431</v>
      </c>
      <c r="B447" s="11">
        <v>70</v>
      </c>
      <c r="AC447">
        <v>431</v>
      </c>
      <c r="AE447" s="11">
        <v>70</v>
      </c>
    </row>
    <row r="448" spans="1:55" x14ac:dyDescent="0.25">
      <c r="A448">
        <v>432</v>
      </c>
      <c r="B448" s="11">
        <v>23</v>
      </c>
      <c r="U448">
        <v>432</v>
      </c>
      <c r="W448" s="11">
        <v>23</v>
      </c>
    </row>
    <row r="449" spans="1:59" x14ac:dyDescent="0.25">
      <c r="A449">
        <v>433</v>
      </c>
      <c r="B449" s="11">
        <v>7.2</v>
      </c>
      <c r="Q449">
        <v>433</v>
      </c>
      <c r="S449" s="11">
        <v>7.2</v>
      </c>
    </row>
    <row r="450" spans="1:59" x14ac:dyDescent="0.25">
      <c r="A450">
        <v>434</v>
      </c>
      <c r="C450" s="11">
        <v>75</v>
      </c>
      <c r="M450">
        <v>434</v>
      </c>
      <c r="N450" s="11">
        <v>75</v>
      </c>
    </row>
    <row r="451" spans="1:59" x14ac:dyDescent="0.25">
      <c r="A451">
        <v>435</v>
      </c>
      <c r="B451" s="11">
        <v>10</v>
      </c>
      <c r="U451">
        <v>435</v>
      </c>
      <c r="W451" s="11">
        <v>10</v>
      </c>
    </row>
    <row r="452" spans="1:59" x14ac:dyDescent="0.25">
      <c r="A452">
        <v>436</v>
      </c>
      <c r="C452" s="11">
        <v>150</v>
      </c>
      <c r="M452">
        <v>436</v>
      </c>
      <c r="N452" s="11">
        <v>150</v>
      </c>
    </row>
    <row r="453" spans="1:59" x14ac:dyDescent="0.25">
      <c r="A453">
        <v>437</v>
      </c>
      <c r="B453" s="11">
        <v>268.5</v>
      </c>
      <c r="U453">
        <v>437</v>
      </c>
      <c r="W453" s="11">
        <v>268.5</v>
      </c>
    </row>
    <row r="454" spans="1:59" x14ac:dyDescent="0.25">
      <c r="A454">
        <v>438</v>
      </c>
      <c r="C454" s="11">
        <v>400</v>
      </c>
      <c r="AW454">
        <v>438</v>
      </c>
      <c r="AX454" s="11">
        <v>400</v>
      </c>
    </row>
    <row r="455" spans="1:59" x14ac:dyDescent="0.25">
      <c r="A455">
        <v>439</v>
      </c>
      <c r="B455" s="11">
        <v>31.4</v>
      </c>
      <c r="Y455">
        <v>439</v>
      </c>
      <c r="AA455" s="11">
        <v>31.4</v>
      </c>
    </row>
    <row r="456" spans="1:59" x14ac:dyDescent="0.25">
      <c r="A456">
        <v>440</v>
      </c>
      <c r="B456" s="11">
        <v>800</v>
      </c>
      <c r="U456">
        <v>440</v>
      </c>
      <c r="W456" s="11">
        <v>800</v>
      </c>
    </row>
    <row r="457" spans="1:59" x14ac:dyDescent="0.25">
      <c r="A457">
        <v>441</v>
      </c>
      <c r="B457" s="11">
        <v>20</v>
      </c>
      <c r="Q457">
        <v>441</v>
      </c>
      <c r="S457" s="11">
        <v>20</v>
      </c>
    </row>
    <row r="458" spans="1:59" x14ac:dyDescent="0.25">
      <c r="A458">
        <v>442</v>
      </c>
      <c r="C458" s="11">
        <v>23</v>
      </c>
      <c r="E458">
        <v>442</v>
      </c>
      <c r="F458" s="11">
        <v>23</v>
      </c>
    </row>
    <row r="459" spans="1:59" x14ac:dyDescent="0.25">
      <c r="A459">
        <v>443</v>
      </c>
      <c r="B459" s="11">
        <v>205.3</v>
      </c>
      <c r="Y459">
        <v>443</v>
      </c>
      <c r="AA459" s="11">
        <v>205.3</v>
      </c>
    </row>
    <row r="460" spans="1:59" x14ac:dyDescent="0.25">
      <c r="A460">
        <v>444</v>
      </c>
      <c r="B460" s="11">
        <v>79.58</v>
      </c>
      <c r="AS460">
        <v>444</v>
      </c>
      <c r="AU460" s="11">
        <v>79.58</v>
      </c>
    </row>
    <row r="461" spans="1:59" x14ac:dyDescent="0.25">
      <c r="A461">
        <v>445</v>
      </c>
      <c r="B461" s="95">
        <v>25.4</v>
      </c>
      <c r="C461" s="95"/>
      <c r="D461" s="96">
        <f>D462+D367</f>
        <v>2985.2499999999909</v>
      </c>
      <c r="F461" s="95"/>
      <c r="G461" s="95"/>
      <c r="J461" s="95"/>
      <c r="K461" s="95"/>
      <c r="N461" s="95"/>
      <c r="O461" s="95"/>
      <c r="R461" s="95"/>
      <c r="S461" s="95"/>
      <c r="U461">
        <v>445</v>
      </c>
      <c r="V461" s="95"/>
      <c r="W461" s="95">
        <v>25.4</v>
      </c>
      <c r="Z461" s="95"/>
      <c r="AA461" s="95"/>
      <c r="AD461" s="95"/>
      <c r="AE461" s="95"/>
      <c r="AH461" s="95"/>
      <c r="AI461" s="95"/>
      <c r="AL461" s="95"/>
      <c r="AM461" s="95"/>
      <c r="AP461" s="95"/>
      <c r="AQ461" s="95"/>
      <c r="AT461" s="95"/>
      <c r="AU461" s="95"/>
      <c r="AX461" s="95"/>
      <c r="AY461" s="95"/>
      <c r="BB461" s="95"/>
      <c r="BC461" s="95"/>
      <c r="BF461" s="95"/>
      <c r="BG461" s="95"/>
    </row>
    <row r="462" spans="1:59" ht="15.75" thickBot="1" x14ac:dyDescent="0.3">
      <c r="A462" s="49" t="s">
        <v>293</v>
      </c>
      <c r="B462" s="97">
        <f>SUM(B371:B461)</f>
        <v>18261.470000000008</v>
      </c>
      <c r="C462" s="97">
        <f>SUM(C371:C461)</f>
        <v>11823.54</v>
      </c>
      <c r="D462" s="87">
        <f>C462-B462</f>
        <v>-6437.9300000000076</v>
      </c>
      <c r="E462" s="49" t="s">
        <v>293</v>
      </c>
      <c r="F462" s="97">
        <f>SUM(F371:F461)</f>
        <v>23</v>
      </c>
      <c r="G462" s="97">
        <f>SUM(G371:G461)</f>
        <v>12578.630000000001</v>
      </c>
      <c r="H462" s="49"/>
      <c r="I462" s="49" t="s">
        <v>293</v>
      </c>
      <c r="J462" s="97">
        <f>SUM(J371:J461)</f>
        <v>9927</v>
      </c>
      <c r="K462" s="97">
        <f>SUM(K371:K461)</f>
        <v>0</v>
      </c>
      <c r="L462" s="49"/>
      <c r="M462" s="49" t="s">
        <v>293</v>
      </c>
      <c r="N462" s="97">
        <f>SUM(N371:N461)</f>
        <v>1410</v>
      </c>
      <c r="O462" s="97">
        <f>SUM(O371:O461)</f>
        <v>0</v>
      </c>
      <c r="P462" s="49"/>
      <c r="Q462" s="49" t="s">
        <v>293</v>
      </c>
      <c r="R462" s="97">
        <f>SUM(R371:R461)</f>
        <v>0</v>
      </c>
      <c r="S462" s="97">
        <f>SUM(S371:S461)</f>
        <v>177.79999999999998</v>
      </c>
      <c r="T462" s="49"/>
      <c r="U462" s="49" t="s">
        <v>293</v>
      </c>
      <c r="V462" s="97">
        <f>SUM(V371:V461)</f>
        <v>13.54</v>
      </c>
      <c r="W462" s="97">
        <f>SUM(W371:W461)</f>
        <v>2091.2600000000002</v>
      </c>
      <c r="X462" s="49"/>
      <c r="Y462" s="49" t="s">
        <v>293</v>
      </c>
      <c r="Z462" s="97">
        <f>SUM(Z371:Z461)</f>
        <v>0</v>
      </c>
      <c r="AA462" s="97">
        <f>SUM(AA371:AA461)</f>
        <v>959.8</v>
      </c>
      <c r="AB462" s="49"/>
      <c r="AC462" s="49" t="s">
        <v>293</v>
      </c>
      <c r="AD462" s="97">
        <f>SUM(AD371:AD461)</f>
        <v>0</v>
      </c>
      <c r="AE462" s="97">
        <f>SUM(AE371:AE461)</f>
        <v>114</v>
      </c>
      <c r="AF462" s="49"/>
      <c r="AG462" s="49" t="s">
        <v>293</v>
      </c>
      <c r="AH462" s="97">
        <f>SUM(AH371:AH461)</f>
        <v>0</v>
      </c>
      <c r="AI462" s="97">
        <f>SUM(AI371:AI461)</f>
        <v>30.4</v>
      </c>
      <c r="AJ462" s="49"/>
      <c r="AK462" s="49" t="s">
        <v>293</v>
      </c>
      <c r="AL462" s="97">
        <f>SUM(AL371:AL461)</f>
        <v>0</v>
      </c>
      <c r="AM462" s="97">
        <f>SUM(AM371:AM461)</f>
        <v>30</v>
      </c>
      <c r="AN462" s="49"/>
      <c r="AO462" s="49" t="s">
        <v>293</v>
      </c>
      <c r="AP462" s="97">
        <f>SUM(AP371:AP461)</f>
        <v>0</v>
      </c>
      <c r="AQ462" s="97">
        <f>SUM(AQ371:AQ461)</f>
        <v>0</v>
      </c>
      <c r="AR462" s="49"/>
      <c r="AS462" s="49" t="s">
        <v>293</v>
      </c>
      <c r="AT462" s="97">
        <f>SUM(AT371:AT461)</f>
        <v>0</v>
      </c>
      <c r="AU462" s="97">
        <f>SUM(AU371:AU461)</f>
        <v>79.58</v>
      </c>
      <c r="AV462" s="49"/>
      <c r="AW462" s="49" t="s">
        <v>293</v>
      </c>
      <c r="AX462" s="97">
        <f>SUM(AX371:AX461)</f>
        <v>450</v>
      </c>
      <c r="AY462" s="97">
        <f>SUM(AY371:AY461)</f>
        <v>0</v>
      </c>
      <c r="AZ462" s="49"/>
      <c r="BA462" s="49" t="s">
        <v>293</v>
      </c>
      <c r="BB462" s="97">
        <f>SUM(BB371:BB461)</f>
        <v>0</v>
      </c>
      <c r="BC462" s="97">
        <f>SUM(BC371:BC461)</f>
        <v>2200</v>
      </c>
      <c r="BE462" s="49" t="s">
        <v>293</v>
      </c>
      <c r="BF462" s="97">
        <f>SUM(BF371:BF461)</f>
        <v>0</v>
      </c>
      <c r="BG462" s="97">
        <f>SUM(BG371:BG461)</f>
        <v>0</v>
      </c>
    </row>
    <row r="463" spans="1:59" x14ac:dyDescent="0.25">
      <c r="A463" s="137" t="s">
        <v>416</v>
      </c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  <c r="AD463" s="138"/>
      <c r="AE463" s="138"/>
      <c r="AF463" s="138"/>
      <c r="AG463" s="138"/>
      <c r="AH463" s="138"/>
      <c r="AI463" s="138"/>
      <c r="AJ463" s="138"/>
      <c r="AK463" s="138"/>
      <c r="AL463" s="138"/>
      <c r="AM463" s="138"/>
      <c r="AN463" s="138"/>
      <c r="AO463" s="138"/>
      <c r="AP463" s="138"/>
      <c r="AQ463" s="138"/>
      <c r="AR463" s="138"/>
      <c r="AS463" s="138"/>
      <c r="AT463" s="138"/>
      <c r="AU463" s="138"/>
      <c r="AV463" s="138"/>
      <c r="AW463" s="138"/>
      <c r="AX463" s="138"/>
      <c r="AY463" s="138"/>
      <c r="AZ463" s="138"/>
      <c r="BA463" s="138"/>
      <c r="BB463" s="138"/>
      <c r="BC463" s="138"/>
      <c r="BD463" s="138"/>
      <c r="BE463" s="138"/>
      <c r="BF463" s="138"/>
      <c r="BG463" s="139"/>
    </row>
    <row r="464" spans="1:59" ht="15.75" thickBot="1" x14ac:dyDescent="0.3">
      <c r="A464" s="140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  <c r="AE464" s="141"/>
      <c r="AF464" s="141"/>
      <c r="AG464" s="141"/>
      <c r="AH464" s="141"/>
      <c r="AI464" s="141"/>
      <c r="AJ464" s="141"/>
      <c r="AK464" s="141"/>
      <c r="AL464" s="141"/>
      <c r="AM464" s="141"/>
      <c r="AN464" s="141"/>
      <c r="AO464" s="141"/>
      <c r="AP464" s="141"/>
      <c r="AQ464" s="141"/>
      <c r="AR464" s="141"/>
      <c r="AS464" s="141"/>
      <c r="AT464" s="141"/>
      <c r="AU464" s="141"/>
      <c r="AV464" s="141"/>
      <c r="AW464" s="141"/>
      <c r="AX464" s="141"/>
      <c r="AY464" s="141"/>
      <c r="AZ464" s="141"/>
      <c r="BA464" s="141"/>
      <c r="BB464" s="141"/>
      <c r="BC464" s="141"/>
      <c r="BD464" s="141"/>
      <c r="BE464" s="141"/>
      <c r="BF464" s="141"/>
      <c r="BG464" s="142"/>
    </row>
    <row r="465" spans="1:50" x14ac:dyDescent="0.25">
      <c r="A465">
        <v>446</v>
      </c>
      <c r="C465" s="11">
        <v>3.79</v>
      </c>
      <c r="U465">
        <v>446</v>
      </c>
      <c r="V465" s="11">
        <v>3.79</v>
      </c>
    </row>
    <row r="466" spans="1:50" x14ac:dyDescent="0.25">
      <c r="A466">
        <v>447</v>
      </c>
      <c r="B466" s="11">
        <v>14.94</v>
      </c>
      <c r="U466">
        <v>447</v>
      </c>
      <c r="W466" s="11">
        <v>14.94</v>
      </c>
    </row>
    <row r="467" spans="1:50" x14ac:dyDescent="0.25">
      <c r="A467">
        <v>448</v>
      </c>
      <c r="B467" s="11">
        <v>19</v>
      </c>
      <c r="U467">
        <v>448</v>
      </c>
      <c r="W467" s="11">
        <v>19</v>
      </c>
    </row>
    <row r="468" spans="1:50" x14ac:dyDescent="0.25">
      <c r="A468">
        <v>449</v>
      </c>
      <c r="C468" s="11">
        <v>1047</v>
      </c>
      <c r="I468">
        <v>449</v>
      </c>
      <c r="J468" s="11">
        <v>1047</v>
      </c>
    </row>
    <row r="469" spans="1:50" x14ac:dyDescent="0.25">
      <c r="A469">
        <v>450</v>
      </c>
      <c r="B469" s="11">
        <v>1.8</v>
      </c>
      <c r="Q469">
        <v>450</v>
      </c>
      <c r="S469" s="11">
        <v>1.8</v>
      </c>
    </row>
    <row r="470" spans="1:50" x14ac:dyDescent="0.25">
      <c r="A470">
        <v>451</v>
      </c>
      <c r="B470" s="11">
        <v>440.63</v>
      </c>
      <c r="E470">
        <v>471</v>
      </c>
      <c r="G470" s="11">
        <v>440.63</v>
      </c>
    </row>
    <row r="471" spans="1:50" x14ac:dyDescent="0.25">
      <c r="A471">
        <v>452</v>
      </c>
      <c r="B471" s="11">
        <v>13.9</v>
      </c>
      <c r="Y471">
        <v>452</v>
      </c>
      <c r="AA471" s="11">
        <v>13.9</v>
      </c>
    </row>
    <row r="472" spans="1:50" x14ac:dyDescent="0.25">
      <c r="A472">
        <v>453</v>
      </c>
      <c r="C472" s="11">
        <v>75</v>
      </c>
      <c r="M472">
        <v>453</v>
      </c>
      <c r="N472" s="11">
        <v>75</v>
      </c>
    </row>
    <row r="473" spans="1:50" x14ac:dyDescent="0.25">
      <c r="A473">
        <v>454</v>
      </c>
      <c r="C473" s="11">
        <v>75</v>
      </c>
      <c r="M473">
        <v>454</v>
      </c>
      <c r="N473" s="11">
        <v>75</v>
      </c>
    </row>
    <row r="474" spans="1:50" x14ac:dyDescent="0.25">
      <c r="A474">
        <v>455</v>
      </c>
      <c r="C474" s="11">
        <v>75</v>
      </c>
      <c r="M474">
        <v>455</v>
      </c>
      <c r="N474" s="11">
        <v>75</v>
      </c>
    </row>
    <row r="475" spans="1:50" x14ac:dyDescent="0.25">
      <c r="A475">
        <v>456</v>
      </c>
      <c r="C475" s="11">
        <v>80</v>
      </c>
      <c r="M475">
        <v>456</v>
      </c>
      <c r="N475" s="11">
        <v>80</v>
      </c>
    </row>
    <row r="476" spans="1:50" x14ac:dyDescent="0.25">
      <c r="A476">
        <v>457</v>
      </c>
      <c r="B476" s="11">
        <v>39.4</v>
      </c>
      <c r="Y476">
        <v>457</v>
      </c>
      <c r="AA476" s="11">
        <v>39.4</v>
      </c>
    </row>
    <row r="477" spans="1:50" x14ac:dyDescent="0.25">
      <c r="A477">
        <v>458</v>
      </c>
      <c r="C477" s="11">
        <v>75</v>
      </c>
      <c r="M477">
        <v>458</v>
      </c>
      <c r="N477" s="11">
        <v>75</v>
      </c>
    </row>
    <row r="478" spans="1:50" x14ac:dyDescent="0.25">
      <c r="A478">
        <v>459</v>
      </c>
      <c r="C478" s="11">
        <v>100</v>
      </c>
      <c r="AW478">
        <v>459</v>
      </c>
      <c r="AX478" s="11">
        <v>100</v>
      </c>
    </row>
    <row r="479" spans="1:50" x14ac:dyDescent="0.25">
      <c r="A479">
        <v>460</v>
      </c>
      <c r="B479" s="11">
        <v>32.5</v>
      </c>
      <c r="U479">
        <v>460</v>
      </c>
      <c r="W479" s="11">
        <v>32.5</v>
      </c>
    </row>
    <row r="480" spans="1:50" x14ac:dyDescent="0.25">
      <c r="A480">
        <v>461</v>
      </c>
      <c r="B480" s="11">
        <v>30</v>
      </c>
      <c r="Y480">
        <v>461</v>
      </c>
      <c r="AA480" s="11">
        <v>30</v>
      </c>
    </row>
    <row r="481" spans="1:31" x14ac:dyDescent="0.25">
      <c r="A481">
        <v>462</v>
      </c>
      <c r="B481" s="11">
        <v>32</v>
      </c>
      <c r="E481">
        <v>462</v>
      </c>
      <c r="G481" s="11">
        <v>32</v>
      </c>
    </row>
    <row r="482" spans="1:31" x14ac:dyDescent="0.25">
      <c r="A482">
        <v>463</v>
      </c>
      <c r="C482" s="11">
        <v>2254</v>
      </c>
      <c r="I482">
        <v>463</v>
      </c>
      <c r="J482" s="11">
        <v>2254</v>
      </c>
    </row>
    <row r="483" spans="1:31" x14ac:dyDescent="0.25">
      <c r="A483">
        <v>464</v>
      </c>
      <c r="B483" s="11">
        <v>28.5</v>
      </c>
      <c r="Y483">
        <v>464</v>
      </c>
      <c r="AA483" s="11">
        <v>28.5</v>
      </c>
    </row>
    <row r="484" spans="1:31" x14ac:dyDescent="0.25">
      <c r="A484">
        <v>465</v>
      </c>
      <c r="B484" s="11">
        <v>17</v>
      </c>
      <c r="U484">
        <v>465</v>
      </c>
      <c r="W484" s="11">
        <v>17</v>
      </c>
    </row>
    <row r="485" spans="1:31" x14ac:dyDescent="0.25">
      <c r="A485">
        <v>466</v>
      </c>
      <c r="B485" s="11">
        <v>301.5</v>
      </c>
      <c r="E485">
        <v>466</v>
      </c>
      <c r="G485" s="11">
        <v>301.5</v>
      </c>
    </row>
    <row r="486" spans="1:31" x14ac:dyDescent="0.25">
      <c r="A486">
        <v>467</v>
      </c>
      <c r="B486" s="11">
        <v>7.2</v>
      </c>
      <c r="Q486">
        <v>467</v>
      </c>
      <c r="S486" s="11">
        <v>7.2</v>
      </c>
    </row>
    <row r="487" spans="1:31" x14ac:dyDescent="0.25">
      <c r="A487">
        <v>468</v>
      </c>
      <c r="C487" s="11">
        <v>100</v>
      </c>
      <c r="M487">
        <v>468</v>
      </c>
      <c r="N487" s="11">
        <v>100</v>
      </c>
    </row>
    <row r="488" spans="1:31" x14ac:dyDescent="0.25">
      <c r="A488">
        <v>469</v>
      </c>
      <c r="C488" s="11">
        <v>200</v>
      </c>
      <c r="M488">
        <v>469</v>
      </c>
      <c r="N488" s="11">
        <v>200</v>
      </c>
    </row>
    <row r="489" spans="1:31" x14ac:dyDescent="0.25">
      <c r="A489">
        <v>470</v>
      </c>
      <c r="B489" s="11">
        <v>44</v>
      </c>
      <c r="AC489">
        <v>470</v>
      </c>
      <c r="AE489" s="11">
        <v>44</v>
      </c>
    </row>
    <row r="490" spans="1:31" x14ac:dyDescent="0.25">
      <c r="A490">
        <v>471</v>
      </c>
      <c r="B490" s="11">
        <v>81.5</v>
      </c>
      <c r="Y490">
        <v>471</v>
      </c>
      <c r="AA490" s="11">
        <v>81.5</v>
      </c>
    </row>
    <row r="491" spans="1:31" x14ac:dyDescent="0.25">
      <c r="A491">
        <v>472</v>
      </c>
      <c r="C491" s="11">
        <v>75</v>
      </c>
      <c r="M491">
        <v>472</v>
      </c>
      <c r="N491" s="11">
        <v>75</v>
      </c>
    </row>
    <row r="492" spans="1:31" x14ac:dyDescent="0.25">
      <c r="A492">
        <v>473</v>
      </c>
      <c r="C492" s="11">
        <v>75</v>
      </c>
      <c r="M492">
        <v>473</v>
      </c>
      <c r="N492" s="11">
        <v>75</v>
      </c>
    </row>
    <row r="493" spans="1:31" x14ac:dyDescent="0.25">
      <c r="A493">
        <v>474</v>
      </c>
      <c r="B493" s="11">
        <v>10</v>
      </c>
      <c r="Q493">
        <v>474</v>
      </c>
      <c r="S493" s="11">
        <v>10</v>
      </c>
    </row>
    <row r="494" spans="1:31" x14ac:dyDescent="0.25">
      <c r="A494">
        <v>475</v>
      </c>
      <c r="B494" s="11">
        <v>4</v>
      </c>
      <c r="U494">
        <v>475</v>
      </c>
      <c r="W494" s="11">
        <v>4</v>
      </c>
    </row>
    <row r="495" spans="1:31" x14ac:dyDescent="0.25">
      <c r="A495">
        <v>476</v>
      </c>
      <c r="B495" s="11">
        <v>2.4</v>
      </c>
      <c r="Q495">
        <v>476</v>
      </c>
      <c r="S495" s="11">
        <v>2.4</v>
      </c>
    </row>
    <row r="496" spans="1:31" x14ac:dyDescent="0.25">
      <c r="A496">
        <v>477</v>
      </c>
      <c r="B496" s="11">
        <v>225</v>
      </c>
      <c r="E496">
        <v>477</v>
      </c>
      <c r="G496" s="11">
        <v>225</v>
      </c>
    </row>
    <row r="497" spans="1:55" x14ac:dyDescent="0.25">
      <c r="A497">
        <v>478</v>
      </c>
      <c r="B497" s="11">
        <v>5</v>
      </c>
      <c r="U497">
        <v>478</v>
      </c>
      <c r="W497" s="11">
        <v>5</v>
      </c>
    </row>
    <row r="498" spans="1:55" x14ac:dyDescent="0.25">
      <c r="A498">
        <v>479</v>
      </c>
      <c r="B498" s="11">
        <v>1.8</v>
      </c>
      <c r="Q498">
        <v>479</v>
      </c>
      <c r="S498" s="11">
        <v>1.8</v>
      </c>
    </row>
    <row r="499" spans="1:55" x14ac:dyDescent="0.25">
      <c r="A499">
        <v>480</v>
      </c>
      <c r="C499" s="11">
        <v>2000</v>
      </c>
      <c r="AW499">
        <v>480</v>
      </c>
      <c r="AX499" s="11">
        <v>2000</v>
      </c>
    </row>
    <row r="500" spans="1:55" x14ac:dyDescent="0.25">
      <c r="A500">
        <v>481</v>
      </c>
      <c r="C500" s="11">
        <v>318</v>
      </c>
      <c r="I500">
        <v>481</v>
      </c>
      <c r="J500" s="11">
        <v>318</v>
      </c>
    </row>
    <row r="501" spans="1:55" x14ac:dyDescent="0.25">
      <c r="A501">
        <v>482</v>
      </c>
      <c r="B501" s="11">
        <v>1194.5</v>
      </c>
      <c r="E501">
        <v>482</v>
      </c>
      <c r="G501" s="11">
        <v>1194.5</v>
      </c>
    </row>
    <row r="502" spans="1:55" x14ac:dyDescent="0.25">
      <c r="A502">
        <v>483</v>
      </c>
      <c r="B502" s="11">
        <v>45</v>
      </c>
      <c r="U502">
        <v>483</v>
      </c>
      <c r="W502" s="11">
        <v>45</v>
      </c>
    </row>
    <row r="503" spans="1:55" x14ac:dyDescent="0.25">
      <c r="A503">
        <v>484</v>
      </c>
      <c r="B503" s="11">
        <v>160</v>
      </c>
      <c r="U503">
        <v>484</v>
      </c>
      <c r="W503" s="11">
        <v>160</v>
      </c>
    </row>
    <row r="504" spans="1:55" x14ac:dyDescent="0.25">
      <c r="A504">
        <v>485</v>
      </c>
      <c r="B504" s="11">
        <v>2.4</v>
      </c>
      <c r="Q504">
        <v>485</v>
      </c>
      <c r="S504" s="11">
        <v>2.4</v>
      </c>
    </row>
    <row r="505" spans="1:55" x14ac:dyDescent="0.25">
      <c r="A505">
        <v>486</v>
      </c>
      <c r="C505" s="11">
        <v>1450</v>
      </c>
      <c r="I505">
        <v>486</v>
      </c>
      <c r="J505" s="11">
        <v>1450</v>
      </c>
    </row>
    <row r="506" spans="1:55" x14ac:dyDescent="0.25">
      <c r="A506">
        <v>487</v>
      </c>
      <c r="C506" s="11">
        <v>2029</v>
      </c>
      <c r="I506">
        <v>487</v>
      </c>
      <c r="J506" s="11">
        <v>2029</v>
      </c>
    </row>
    <row r="507" spans="1:55" x14ac:dyDescent="0.25">
      <c r="A507">
        <v>488</v>
      </c>
      <c r="B507" s="11">
        <v>17</v>
      </c>
      <c r="Y507">
        <v>488</v>
      </c>
      <c r="AA507" s="11">
        <v>17</v>
      </c>
    </row>
    <row r="508" spans="1:55" x14ac:dyDescent="0.25">
      <c r="A508">
        <v>489</v>
      </c>
      <c r="B508" s="11">
        <v>20</v>
      </c>
      <c r="U508">
        <v>489</v>
      </c>
      <c r="W508" s="11">
        <v>20</v>
      </c>
    </row>
    <row r="509" spans="1:55" x14ac:dyDescent="0.25">
      <c r="A509">
        <v>490</v>
      </c>
      <c r="B509" s="11">
        <v>7.2</v>
      </c>
      <c r="Q509">
        <v>490</v>
      </c>
      <c r="S509" s="11">
        <v>7.2</v>
      </c>
    </row>
    <row r="510" spans="1:55" x14ac:dyDescent="0.25">
      <c r="A510">
        <v>491</v>
      </c>
      <c r="B510" s="11">
        <v>4600</v>
      </c>
      <c r="BA510">
        <v>491</v>
      </c>
      <c r="BC510" s="11">
        <v>4600</v>
      </c>
    </row>
    <row r="511" spans="1:55" x14ac:dyDescent="0.25">
      <c r="A511">
        <v>492</v>
      </c>
      <c r="C511" s="11">
        <v>2220</v>
      </c>
      <c r="I511">
        <v>492</v>
      </c>
      <c r="J511" s="11">
        <v>2220</v>
      </c>
    </row>
    <row r="512" spans="1:55" x14ac:dyDescent="0.25">
      <c r="A512">
        <v>493</v>
      </c>
      <c r="B512" s="11">
        <v>67.599999999999994</v>
      </c>
      <c r="Y512">
        <v>493</v>
      </c>
      <c r="AA512" s="11">
        <v>67.599999999999994</v>
      </c>
    </row>
    <row r="513" spans="1:59" x14ac:dyDescent="0.25">
      <c r="A513">
        <v>494</v>
      </c>
      <c r="B513" s="11">
        <v>18</v>
      </c>
      <c r="U513">
        <v>494</v>
      </c>
      <c r="W513" s="11">
        <v>18</v>
      </c>
    </row>
    <row r="514" spans="1:59" x14ac:dyDescent="0.25">
      <c r="A514">
        <v>495</v>
      </c>
      <c r="B514" s="11">
        <v>2.4</v>
      </c>
      <c r="Q514">
        <v>495</v>
      </c>
      <c r="S514" s="11">
        <v>2.4</v>
      </c>
    </row>
    <row r="515" spans="1:59" x14ac:dyDescent="0.25">
      <c r="A515">
        <v>496</v>
      </c>
      <c r="B515" s="11">
        <v>110</v>
      </c>
      <c r="BA515">
        <v>496</v>
      </c>
      <c r="BC515" s="11">
        <v>110</v>
      </c>
    </row>
    <row r="516" spans="1:59" x14ac:dyDescent="0.25">
      <c r="A516">
        <v>497</v>
      </c>
      <c r="B516" s="11">
        <v>13.5</v>
      </c>
      <c r="U516">
        <v>497</v>
      </c>
      <c r="W516" s="11">
        <v>13.5</v>
      </c>
    </row>
    <row r="517" spans="1:59" x14ac:dyDescent="0.25">
      <c r="A517">
        <v>498</v>
      </c>
      <c r="B517" s="11">
        <v>2.4</v>
      </c>
      <c r="Q517">
        <v>498</v>
      </c>
      <c r="S517" s="11">
        <v>2.4</v>
      </c>
    </row>
    <row r="518" spans="1:59" x14ac:dyDescent="0.25">
      <c r="A518">
        <v>499</v>
      </c>
      <c r="B518" s="11">
        <v>219.8</v>
      </c>
      <c r="Y518">
        <v>499</v>
      </c>
      <c r="AA518" s="11">
        <v>219.8</v>
      </c>
    </row>
    <row r="519" spans="1:59" x14ac:dyDescent="0.25">
      <c r="A519">
        <v>500</v>
      </c>
      <c r="B519" s="11">
        <v>10</v>
      </c>
      <c r="Q519">
        <v>500</v>
      </c>
      <c r="S519" s="11">
        <v>10</v>
      </c>
    </row>
    <row r="520" spans="1:59" x14ac:dyDescent="0.25">
      <c r="A520">
        <v>501</v>
      </c>
      <c r="C520" s="11">
        <v>1011</v>
      </c>
      <c r="I520">
        <v>501</v>
      </c>
      <c r="J520" s="11">
        <v>1011</v>
      </c>
    </row>
    <row r="521" spans="1:59" x14ac:dyDescent="0.25">
      <c r="A521">
        <v>502</v>
      </c>
      <c r="B521" s="11">
        <v>39</v>
      </c>
      <c r="U521">
        <v>502</v>
      </c>
      <c r="W521" s="11">
        <v>39</v>
      </c>
    </row>
    <row r="522" spans="1:59" x14ac:dyDescent="0.25">
      <c r="A522">
        <v>503</v>
      </c>
      <c r="B522" s="11">
        <v>300</v>
      </c>
      <c r="AW522">
        <v>503</v>
      </c>
      <c r="AY522" s="11">
        <v>300</v>
      </c>
    </row>
    <row r="523" spans="1:59" x14ac:dyDescent="0.25">
      <c r="A523">
        <v>504</v>
      </c>
      <c r="B523" s="11">
        <v>262</v>
      </c>
      <c r="U523">
        <v>504</v>
      </c>
      <c r="W523" s="11">
        <v>262</v>
      </c>
    </row>
    <row r="524" spans="1:59" x14ac:dyDescent="0.25">
      <c r="A524">
        <v>505</v>
      </c>
      <c r="B524" s="11">
        <v>122.9</v>
      </c>
      <c r="Y524">
        <v>505</v>
      </c>
      <c r="AA524" s="11">
        <v>122.9</v>
      </c>
    </row>
    <row r="525" spans="1:59" x14ac:dyDescent="0.25">
      <c r="B525" s="11">
        <f>SUM(B465:B524)</f>
        <v>8565.7699999999986</v>
      </c>
      <c r="C525" s="11">
        <f>SUM(C465:C524)</f>
        <v>13262.79</v>
      </c>
      <c r="D525">
        <f>C525-B525</f>
        <v>4697.0200000000023</v>
      </c>
      <c r="F525" s="11">
        <f>SUM(F465:F524)</f>
        <v>0</v>
      </c>
      <c r="G525" s="11">
        <f>SUM(G465:G524)</f>
        <v>2193.63</v>
      </c>
      <c r="J525" s="11">
        <f>SUM(J465:J524)</f>
        <v>10329</v>
      </c>
      <c r="K525" s="11">
        <f>SUM(K465:K524)</f>
        <v>0</v>
      </c>
      <c r="N525" s="11">
        <f>SUM(N465:N524)</f>
        <v>830</v>
      </c>
      <c r="O525" s="11">
        <f>SUM(O465:O524)</f>
        <v>0</v>
      </c>
      <c r="R525" s="11">
        <f>SUM(R465:R524)</f>
        <v>0</v>
      </c>
      <c r="S525" s="11">
        <f>SUM(S465:S524)</f>
        <v>47.599999999999994</v>
      </c>
      <c r="V525" s="11">
        <f>SUM(V465:V524)</f>
        <v>3.79</v>
      </c>
      <c r="W525" s="11">
        <f>SUM(W465:W524)</f>
        <v>649.94000000000005</v>
      </c>
      <c r="Z525" s="11">
        <f>SUM(Z465:Z524)</f>
        <v>0</v>
      </c>
      <c r="AA525" s="11">
        <f>SUM(AA465:AA524)</f>
        <v>620.6</v>
      </c>
      <c r="AD525" s="11">
        <f>SUM(AD465:AD524)</f>
        <v>0</v>
      </c>
      <c r="AE525" s="11">
        <f>SUM(AE465:AE524)</f>
        <v>44</v>
      </c>
      <c r="AH525" s="11">
        <f>SUM(AH465:AH524)</f>
        <v>0</v>
      </c>
      <c r="AI525" s="11">
        <f>SUM(AI465:AI524)</f>
        <v>0</v>
      </c>
      <c r="AL525" s="11">
        <f>SUM(AL465:AL524)</f>
        <v>0</v>
      </c>
      <c r="AM525" s="11">
        <f>SUM(AM465:AM524)</f>
        <v>0</v>
      </c>
      <c r="AP525" s="11">
        <f>SUM(AP465:AP524)</f>
        <v>0</v>
      </c>
      <c r="AQ525" s="11">
        <f>SUM(AQ465:AQ524)</f>
        <v>0</v>
      </c>
      <c r="AT525" s="11">
        <f>SUM(AT465:AT524)</f>
        <v>0</v>
      </c>
      <c r="AU525" s="11">
        <f>SUM(AU465:AU524)</f>
        <v>0</v>
      </c>
      <c r="AX525" s="11">
        <f>SUM(AX465:AX524)</f>
        <v>2100</v>
      </c>
      <c r="AY525" s="11">
        <f>SUM(AY465:AY524)</f>
        <v>300</v>
      </c>
      <c r="BB525" s="11">
        <f>SUM(BB465:BB524)</f>
        <v>0</v>
      </c>
      <c r="BC525" s="11">
        <f>SUM(BC465:BC524)</f>
        <v>4710</v>
      </c>
      <c r="BF525" s="11">
        <f>SUM(BF465:BF524)</f>
        <v>0</v>
      </c>
      <c r="BG525" s="11">
        <f>SUM(BG465:BG524)</f>
        <v>0</v>
      </c>
    </row>
    <row r="526" spans="1:59" x14ac:dyDescent="0.25">
      <c r="D526">
        <f>D525+D461</f>
        <v>7682.2699999999932</v>
      </c>
    </row>
    <row r="531" spans="4:4" x14ac:dyDescent="0.25">
      <c r="D531">
        <v>542.5</v>
      </c>
    </row>
    <row r="532" spans="4:4" x14ac:dyDescent="0.25">
      <c r="D532">
        <v>103.17</v>
      </c>
    </row>
    <row r="533" spans="4:4" x14ac:dyDescent="0.25">
      <c r="D533">
        <v>-34</v>
      </c>
    </row>
    <row r="534" spans="4:4" x14ac:dyDescent="0.25">
      <c r="D534">
        <f>277-110</f>
        <v>167</v>
      </c>
    </row>
    <row r="535" spans="4:4" x14ac:dyDescent="0.25">
      <c r="D535">
        <v>2000</v>
      </c>
    </row>
    <row r="536" spans="4:4" x14ac:dyDescent="0.25">
      <c r="D536">
        <f>SUM(D531:D535)</f>
        <v>2778.67</v>
      </c>
    </row>
    <row r="538" spans="4:4" x14ac:dyDescent="0.25">
      <c r="D538">
        <v>4520</v>
      </c>
    </row>
    <row r="539" spans="4:4" x14ac:dyDescent="0.25">
      <c r="D539">
        <v>18</v>
      </c>
    </row>
    <row r="540" spans="4:4" x14ac:dyDescent="0.25">
      <c r="D540">
        <v>48</v>
      </c>
    </row>
    <row r="541" spans="4:4" x14ac:dyDescent="0.25">
      <c r="D541">
        <v>8</v>
      </c>
    </row>
    <row r="542" spans="4:4" x14ac:dyDescent="0.25">
      <c r="D542">
        <v>1.7</v>
      </c>
    </row>
    <row r="543" spans="4:4" x14ac:dyDescent="0.25">
      <c r="D543">
        <v>1.6</v>
      </c>
    </row>
    <row r="544" spans="4:4" x14ac:dyDescent="0.25">
      <c r="D544">
        <f>SUM(D538:D543)</f>
        <v>4597.3</v>
      </c>
    </row>
    <row r="546" spans="4:4" x14ac:dyDescent="0.25">
      <c r="D546">
        <f>D544+D536</f>
        <v>7375.97</v>
      </c>
    </row>
    <row r="547" spans="4:4" x14ac:dyDescent="0.25">
      <c r="D547">
        <f>D526-D546</f>
        <v>306.29999999999291</v>
      </c>
    </row>
  </sheetData>
  <mergeCells count="34">
    <mergeCell ref="AD1:AE1"/>
    <mergeCell ref="N1:O1"/>
    <mergeCell ref="Q1:Q2"/>
    <mergeCell ref="Y1:Y2"/>
    <mergeCell ref="A463:BG464"/>
    <mergeCell ref="A189:BG190"/>
    <mergeCell ref="A3:BG4"/>
    <mergeCell ref="U1:U2"/>
    <mergeCell ref="V1:W1"/>
    <mergeCell ref="AO1:AO2"/>
    <mergeCell ref="AP1:AQ1"/>
    <mergeCell ref="AS1:AS2"/>
    <mergeCell ref="AT1:AU1"/>
    <mergeCell ref="AW1:AW2"/>
    <mergeCell ref="AX1:AY1"/>
    <mergeCell ref="BA1:BA2"/>
    <mergeCell ref="BB1:BC1"/>
    <mergeCell ref="AH1:AI1"/>
    <mergeCell ref="A369:BG370"/>
    <mergeCell ref="AK1:AK2"/>
    <mergeCell ref="BE1:BE2"/>
    <mergeCell ref="BF1:BG1"/>
    <mergeCell ref="A1:A2"/>
    <mergeCell ref="B1:C1"/>
    <mergeCell ref="E1:E2"/>
    <mergeCell ref="F1:G1"/>
    <mergeCell ref="I1:I2"/>
    <mergeCell ref="J1:K1"/>
    <mergeCell ref="AL1:AM1"/>
    <mergeCell ref="AG1:AG2"/>
    <mergeCell ref="Z1:AA1"/>
    <mergeCell ref="R1:S1"/>
    <mergeCell ref="M1:M2"/>
    <mergeCell ref="AC1:A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C11B-F20F-41EA-8086-F13EC483C9E7}">
  <dimension ref="A1:Z394"/>
  <sheetViews>
    <sheetView topLeftCell="B366" workbookViewId="0">
      <selection activeCell="O396" sqref="O396"/>
    </sheetView>
  </sheetViews>
  <sheetFormatPr baseColWidth="10" defaultRowHeight="15" x14ac:dyDescent="0.25"/>
  <cols>
    <col min="1" max="2" width="2.7109375" customWidth="1"/>
    <col min="3" max="3" width="5.7109375" style="3" customWidth="1"/>
    <col min="4" max="4" width="5.7109375" customWidth="1"/>
    <col min="5" max="5" width="7.42578125" customWidth="1"/>
    <col min="6" max="10" width="5.7109375" customWidth="1"/>
    <col min="11" max="11" width="0.85546875" style="13" customWidth="1"/>
    <col min="12" max="12" width="11.28515625" customWidth="1"/>
    <col min="13" max="13" width="5.7109375" customWidth="1"/>
    <col min="14" max="14" width="12.85546875" bestFit="1" customWidth="1"/>
    <col min="15" max="18" width="5.7109375" customWidth="1"/>
    <col min="19" max="19" width="5.7109375" style="14" customWidth="1"/>
    <col min="20" max="21" width="2.7109375" customWidth="1"/>
    <col min="23" max="23" width="7.140625" style="4" bestFit="1" customWidth="1"/>
    <col min="24" max="24" width="20.85546875" style="4" bestFit="1" customWidth="1"/>
    <col min="25" max="25" width="7.5703125" style="4" bestFit="1" customWidth="1"/>
    <col min="26" max="26" width="128.28515625" style="4" bestFit="1" customWidth="1"/>
  </cols>
  <sheetData>
    <row r="1" spans="3:26" ht="15.75" thickBot="1" x14ac:dyDescent="0.3">
      <c r="C1" s="199" t="s">
        <v>23</v>
      </c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1"/>
      <c r="W1" s="5" t="s">
        <v>10</v>
      </c>
      <c r="X1" s="5" t="s">
        <v>24</v>
      </c>
      <c r="Y1" s="5" t="s">
        <v>31</v>
      </c>
      <c r="Z1" s="5" t="s">
        <v>25</v>
      </c>
    </row>
    <row r="2" spans="3:26" ht="15.75" thickBot="1" x14ac:dyDescent="0.3">
      <c r="C2" s="202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4"/>
      <c r="W2" s="4">
        <v>1</v>
      </c>
      <c r="X2" s="4" t="s">
        <v>34</v>
      </c>
      <c r="Y2" s="4" t="s">
        <v>32</v>
      </c>
      <c r="Z2" s="4" t="s">
        <v>47</v>
      </c>
    </row>
    <row r="3" spans="3:26" x14ac:dyDescent="0.25">
      <c r="W3" s="4">
        <v>2</v>
      </c>
      <c r="X3" s="4" t="s">
        <v>34</v>
      </c>
      <c r="Y3" s="4" t="s">
        <v>33</v>
      </c>
      <c r="Z3" s="4" t="s">
        <v>47</v>
      </c>
    </row>
    <row r="4" spans="3:26" x14ac:dyDescent="0.25">
      <c r="W4" s="4">
        <v>3</v>
      </c>
      <c r="X4" s="4" t="s">
        <v>42</v>
      </c>
      <c r="Y4" s="4" t="s">
        <v>32</v>
      </c>
      <c r="Z4" s="4" t="s">
        <v>48</v>
      </c>
    </row>
    <row r="5" spans="3:26" x14ac:dyDescent="0.25">
      <c r="W5" s="4">
        <v>4</v>
      </c>
      <c r="X5" s="4" t="s">
        <v>43</v>
      </c>
      <c r="Y5" s="4" t="s">
        <v>32</v>
      </c>
      <c r="Z5" s="4" t="s">
        <v>49</v>
      </c>
    </row>
    <row r="6" spans="3:26" x14ac:dyDescent="0.25">
      <c r="W6" s="4">
        <v>5</v>
      </c>
      <c r="X6" s="4" t="s">
        <v>35</v>
      </c>
      <c r="Y6" s="4" t="s">
        <v>32</v>
      </c>
      <c r="Z6" s="4" t="s">
        <v>50</v>
      </c>
    </row>
    <row r="7" spans="3:26" x14ac:dyDescent="0.25">
      <c r="W7" s="4">
        <v>6</v>
      </c>
      <c r="X7" s="4" t="s">
        <v>35</v>
      </c>
      <c r="Y7" s="4" t="s">
        <v>33</v>
      </c>
      <c r="Z7" s="4" t="s">
        <v>50</v>
      </c>
    </row>
    <row r="8" spans="3:26" x14ac:dyDescent="0.25">
      <c r="W8" s="4">
        <v>7</v>
      </c>
      <c r="X8" s="4" t="s">
        <v>36</v>
      </c>
      <c r="Y8" s="4" t="s">
        <v>32</v>
      </c>
      <c r="Z8" s="4" t="s">
        <v>44</v>
      </c>
    </row>
    <row r="9" spans="3:26" x14ac:dyDescent="0.25">
      <c r="W9" s="4">
        <v>8</v>
      </c>
      <c r="X9" s="4" t="s">
        <v>36</v>
      </c>
      <c r="Y9" s="4" t="s">
        <v>33</v>
      </c>
      <c r="Z9" s="4" t="s">
        <v>44</v>
      </c>
    </row>
    <row r="10" spans="3:26" ht="16.5" customHeight="1" x14ac:dyDescent="0.25">
      <c r="W10" s="4">
        <v>9</v>
      </c>
      <c r="X10" s="4" t="s">
        <v>123</v>
      </c>
      <c r="Y10" s="4" t="s">
        <v>33</v>
      </c>
      <c r="Z10" s="4" t="s">
        <v>44</v>
      </c>
    </row>
    <row r="11" spans="3:26" x14ac:dyDescent="0.25">
      <c r="W11" s="4">
        <v>10</v>
      </c>
      <c r="X11" s="4" t="s">
        <v>37</v>
      </c>
      <c r="Y11" s="4" t="s">
        <v>32</v>
      </c>
      <c r="Z11" s="4" t="s">
        <v>45</v>
      </c>
    </row>
    <row r="12" spans="3:26" ht="15" customHeight="1" x14ac:dyDescent="0.25">
      <c r="W12" s="4">
        <v>11</v>
      </c>
      <c r="X12" s="4" t="s">
        <v>38</v>
      </c>
      <c r="Y12" s="4" t="s">
        <v>41</v>
      </c>
      <c r="Z12" s="4" t="s">
        <v>46</v>
      </c>
    </row>
    <row r="13" spans="3:26" ht="15" customHeight="1" x14ac:dyDescent="0.25">
      <c r="W13" s="4">
        <v>12</v>
      </c>
      <c r="X13" s="4" t="s">
        <v>39</v>
      </c>
      <c r="Y13" s="4" t="s">
        <v>32</v>
      </c>
      <c r="Z13" s="4" t="s">
        <v>52</v>
      </c>
    </row>
    <row r="14" spans="3:26" ht="15" customHeight="1" x14ac:dyDescent="0.25">
      <c r="W14" s="4">
        <v>13</v>
      </c>
      <c r="X14" s="4" t="s">
        <v>39</v>
      </c>
      <c r="Y14" s="4" t="s">
        <v>33</v>
      </c>
      <c r="Z14" s="4" t="s">
        <v>52</v>
      </c>
    </row>
    <row r="15" spans="3:26" ht="15" customHeight="1" x14ac:dyDescent="0.25">
      <c r="W15" s="4">
        <v>14</v>
      </c>
      <c r="X15" s="4" t="s">
        <v>40</v>
      </c>
      <c r="Y15" s="4" t="s">
        <v>32</v>
      </c>
      <c r="Z15" s="4" t="s">
        <v>51</v>
      </c>
    </row>
    <row r="16" spans="3:26" ht="15" customHeight="1" x14ac:dyDescent="0.25">
      <c r="W16" s="4">
        <v>15</v>
      </c>
      <c r="X16" s="4" t="s">
        <v>36</v>
      </c>
      <c r="Y16" s="4" t="s">
        <v>32</v>
      </c>
      <c r="Z16" s="4" t="s">
        <v>53</v>
      </c>
    </row>
    <row r="17" spans="1:26" ht="15" customHeight="1" x14ac:dyDescent="0.25">
      <c r="W17" s="4">
        <v>16</v>
      </c>
      <c r="X17" s="4" t="s">
        <v>36</v>
      </c>
      <c r="Y17" s="4" t="s">
        <v>33</v>
      </c>
      <c r="Z17" s="4" t="s">
        <v>53</v>
      </c>
    </row>
    <row r="18" spans="1:26" ht="15" customHeight="1" x14ac:dyDescent="0.25">
      <c r="W18" s="4">
        <v>17</v>
      </c>
      <c r="X18" s="4" t="str">
        <f>X17</f>
        <v>Chamarras acolchadas</v>
      </c>
      <c r="Y18" s="4" t="str">
        <f t="shared" ref="Y18:Z18" si="0">Y17</f>
        <v>Dama</v>
      </c>
      <c r="Z18" s="4" t="str">
        <f t="shared" si="0"/>
        <v>Taslan arrugado, fibra, polar plusher, terry, pretina común del color de la prenda, cierrre coreano normal del color de la prenda, llave especial</v>
      </c>
    </row>
    <row r="19" spans="1:26" ht="15" customHeight="1" x14ac:dyDescent="0.25">
      <c r="W19" s="4">
        <v>18</v>
      </c>
      <c r="X19" s="4" t="s">
        <v>124</v>
      </c>
      <c r="Y19" s="4" t="s">
        <v>32</v>
      </c>
      <c r="Z19" s="4" t="s">
        <v>125</v>
      </c>
    </row>
    <row r="20" spans="1:26" ht="15" customHeight="1" x14ac:dyDescent="0.25">
      <c r="W20" s="4">
        <v>19</v>
      </c>
      <c r="X20" s="4" t="s">
        <v>124</v>
      </c>
      <c r="Y20" s="4" t="s">
        <v>33</v>
      </c>
      <c r="Z20" s="4" t="s">
        <v>125</v>
      </c>
    </row>
    <row r="21" spans="1:26" x14ac:dyDescent="0.25">
      <c r="W21" s="4">
        <v>20</v>
      </c>
      <c r="X21" s="4" t="s">
        <v>126</v>
      </c>
      <c r="Y21" s="4" t="s">
        <v>32</v>
      </c>
      <c r="Z21" t="s">
        <v>127</v>
      </c>
    </row>
    <row r="22" spans="1:26" x14ac:dyDescent="0.25">
      <c r="W22" s="4">
        <v>21</v>
      </c>
      <c r="X22" s="4" t="s">
        <v>158</v>
      </c>
      <c r="Y22" s="4" t="s">
        <v>32</v>
      </c>
      <c r="Z22" t="s">
        <v>128</v>
      </c>
    </row>
    <row r="23" spans="1:26" x14ac:dyDescent="0.25">
      <c r="W23" s="4">
        <v>22</v>
      </c>
      <c r="X23" s="4" t="s">
        <v>39</v>
      </c>
      <c r="Y23" s="4" t="s">
        <v>32</v>
      </c>
      <c r="Z23" s="4" t="s">
        <v>129</v>
      </c>
    </row>
    <row r="24" spans="1:26" x14ac:dyDescent="0.25">
      <c r="Z24"/>
    </row>
    <row r="25" spans="1:26" x14ac:dyDescent="0.25">
      <c r="Z25"/>
    </row>
    <row r="26" spans="1:26" x14ac:dyDescent="0.25">
      <c r="Z26"/>
    </row>
    <row r="27" spans="1:26" x14ac:dyDescent="0.25">
      <c r="Z27"/>
    </row>
    <row r="28" spans="1:26" x14ac:dyDescent="0.25">
      <c r="Z28"/>
    </row>
    <row r="29" spans="1:26" ht="15.75" thickBot="1" x14ac:dyDescent="0.3"/>
    <row r="30" spans="1:26" ht="15.75" thickBot="1" x14ac:dyDescent="0.3">
      <c r="A30" s="49"/>
      <c r="C30" s="2" t="s">
        <v>1</v>
      </c>
      <c r="D30" s="161" t="s">
        <v>8</v>
      </c>
      <c r="E30" s="162"/>
      <c r="F30" s="161" t="s">
        <v>9</v>
      </c>
      <c r="G30" s="163"/>
      <c r="H30" s="163"/>
      <c r="I30" s="163"/>
      <c r="J30" s="163"/>
      <c r="K30" s="163"/>
      <c r="L30" s="163"/>
      <c r="M30" s="162"/>
      <c r="N30" s="22" t="s">
        <v>10</v>
      </c>
      <c r="O30" s="161" t="s">
        <v>11</v>
      </c>
      <c r="P30" s="162"/>
      <c r="Q30" s="161" t="s">
        <v>12</v>
      </c>
      <c r="R30" s="163"/>
      <c r="S30" s="162"/>
    </row>
    <row r="31" spans="1:26" ht="15.75" thickBot="1" x14ac:dyDescent="0.3">
      <c r="A31" s="49"/>
      <c r="C31" s="6"/>
      <c r="D31" s="164"/>
      <c r="E31" s="154"/>
      <c r="F31" s="152"/>
      <c r="G31" s="153"/>
      <c r="H31" s="153"/>
      <c r="I31" s="153"/>
      <c r="J31" s="153"/>
      <c r="K31" s="153"/>
      <c r="L31" s="153"/>
      <c r="M31" s="154"/>
      <c r="N31" s="19"/>
      <c r="O31" s="6" t="s">
        <v>13</v>
      </c>
      <c r="P31" s="6" t="s">
        <v>14</v>
      </c>
      <c r="Q31" s="152"/>
      <c r="R31" s="153"/>
      <c r="S31" s="154"/>
    </row>
    <row r="32" spans="1:26" ht="15.75" thickBot="1" x14ac:dyDescent="0.3">
      <c r="A32" s="49"/>
      <c r="C32" s="161" t="s">
        <v>15</v>
      </c>
      <c r="D32" s="163"/>
      <c r="E32" s="163"/>
      <c r="F32" s="163"/>
      <c r="G32" s="163"/>
      <c r="H32" s="163"/>
      <c r="I32" s="162"/>
      <c r="J32" s="50"/>
      <c r="K32" s="23"/>
      <c r="L32" s="161" t="s">
        <v>7</v>
      </c>
      <c r="M32" s="163"/>
      <c r="N32" s="163"/>
      <c r="O32" s="163"/>
      <c r="P32" s="163"/>
      <c r="Q32" s="163"/>
      <c r="R32" s="163"/>
      <c r="S32" s="162"/>
    </row>
    <row r="33" spans="1:19" ht="15.75" thickBot="1" x14ac:dyDescent="0.3">
      <c r="A33" s="49"/>
      <c r="C33" s="174" t="s">
        <v>16</v>
      </c>
      <c r="D33" s="175"/>
      <c r="E33" s="7"/>
      <c r="F33" s="7"/>
      <c r="G33" s="7"/>
      <c r="H33" s="7"/>
      <c r="I33" s="8"/>
      <c r="J33" s="43"/>
      <c r="K33" s="52"/>
      <c r="L33" s="152" t="s">
        <v>17</v>
      </c>
      <c r="M33" s="154"/>
      <c r="N33" s="9" t="s">
        <v>18</v>
      </c>
      <c r="O33" s="5" t="s">
        <v>19</v>
      </c>
      <c r="P33" s="9" t="s">
        <v>20</v>
      </c>
      <c r="Q33" s="5" t="s">
        <v>21</v>
      </c>
      <c r="R33" s="158" t="s">
        <v>22</v>
      </c>
      <c r="S33" s="159"/>
    </row>
    <row r="34" spans="1:19" x14ac:dyDescent="0.25">
      <c r="A34" s="49"/>
      <c r="C34" s="166"/>
      <c r="D34" s="180"/>
      <c r="E34" s="10"/>
      <c r="F34" s="11"/>
      <c r="G34" s="11"/>
      <c r="H34" s="11"/>
      <c r="I34" s="12"/>
      <c r="L34" s="195"/>
      <c r="M34" s="196"/>
      <c r="O34" s="4"/>
      <c r="Q34" s="4"/>
      <c r="R34" s="168"/>
      <c r="S34" s="169"/>
    </row>
    <row r="35" spans="1:19" x14ac:dyDescent="0.25">
      <c r="A35" s="49"/>
      <c r="C35" s="166"/>
      <c r="D35" s="180"/>
      <c r="E35" s="10"/>
      <c r="F35" s="11"/>
      <c r="G35" s="11"/>
      <c r="H35" s="11"/>
      <c r="I35" s="12"/>
      <c r="L35" s="195"/>
      <c r="M35" s="196"/>
      <c r="O35" s="4"/>
      <c r="Q35" s="4"/>
      <c r="R35" s="170"/>
      <c r="S35" s="171"/>
    </row>
    <row r="36" spans="1:19" x14ac:dyDescent="0.25">
      <c r="A36" s="49"/>
      <c r="C36" s="166"/>
      <c r="D36" s="180"/>
      <c r="E36" s="10"/>
      <c r="F36" s="11"/>
      <c r="G36" s="11"/>
      <c r="H36" s="11"/>
      <c r="I36" s="12"/>
      <c r="L36" s="195"/>
      <c r="M36" s="196"/>
      <c r="O36" s="4"/>
      <c r="Q36" s="4"/>
      <c r="R36" s="170"/>
      <c r="S36" s="171"/>
    </row>
    <row r="37" spans="1:19" ht="15.75" thickBot="1" x14ac:dyDescent="0.3">
      <c r="A37" s="49"/>
      <c r="C37" s="166"/>
      <c r="D37" s="180"/>
      <c r="E37" s="10"/>
      <c r="F37" s="11"/>
      <c r="G37" s="11"/>
      <c r="H37" s="11"/>
      <c r="I37" s="12"/>
      <c r="L37" s="195"/>
      <c r="M37" s="196"/>
      <c r="O37" s="4"/>
      <c r="Q37" s="4"/>
      <c r="R37" s="181"/>
      <c r="S37" s="182"/>
    </row>
    <row r="38" spans="1:19" x14ac:dyDescent="0.25">
      <c r="A38" s="49"/>
      <c r="C38" s="166"/>
      <c r="D38" s="180"/>
      <c r="E38" s="10"/>
      <c r="F38" s="11"/>
      <c r="G38" s="11"/>
      <c r="H38" s="11"/>
      <c r="I38" s="12"/>
      <c r="L38" s="195"/>
      <c r="M38" s="196"/>
      <c r="O38" s="4"/>
      <c r="Q38" s="4"/>
    </row>
    <row r="39" spans="1:19" ht="15.75" thickBot="1" x14ac:dyDescent="0.3">
      <c r="A39" s="49"/>
      <c r="C39" s="183"/>
      <c r="D39" s="184"/>
      <c r="E39" s="15"/>
      <c r="F39" s="16"/>
      <c r="G39" s="16"/>
      <c r="H39" s="16"/>
      <c r="I39" s="17"/>
      <c r="L39" s="197"/>
      <c r="M39" s="198"/>
      <c r="N39" s="18"/>
      <c r="O39" s="6"/>
      <c r="P39" s="18"/>
      <c r="Q39" s="6"/>
    </row>
    <row r="41" spans="1:19" ht="3" customHeight="1" x14ac:dyDescent="0.25">
      <c r="C41" s="20"/>
      <c r="D41" s="13"/>
      <c r="E41" s="13"/>
      <c r="F41" s="13"/>
      <c r="G41" s="13"/>
      <c r="H41" s="13"/>
      <c r="I41" s="13"/>
      <c r="J41" s="13"/>
      <c r="L41" s="13"/>
      <c r="M41" s="13"/>
      <c r="N41" s="13"/>
      <c r="O41" s="13"/>
      <c r="P41" s="13"/>
      <c r="Q41" s="13"/>
      <c r="R41" s="13"/>
      <c r="S41" s="21"/>
    </row>
    <row r="42" spans="1:19" ht="15.75" thickBot="1" x14ac:dyDescent="0.3"/>
    <row r="43" spans="1:19" ht="15.75" thickBot="1" x14ac:dyDescent="0.3">
      <c r="C43" s="2" t="s">
        <v>1</v>
      </c>
      <c r="D43" s="161" t="s">
        <v>8</v>
      </c>
      <c r="E43" s="162"/>
      <c r="F43" s="161" t="s">
        <v>9</v>
      </c>
      <c r="G43" s="163"/>
      <c r="H43" s="163"/>
      <c r="I43" s="163"/>
      <c r="J43" s="163"/>
      <c r="K43" s="163"/>
      <c r="L43" s="163"/>
      <c r="M43" s="163"/>
      <c r="N43" s="162"/>
      <c r="O43" s="22" t="s">
        <v>10</v>
      </c>
      <c r="P43" s="161" t="s">
        <v>11</v>
      </c>
      <c r="Q43" s="162"/>
      <c r="R43" s="161" t="s">
        <v>12</v>
      </c>
      <c r="S43" s="162"/>
    </row>
    <row r="44" spans="1:19" ht="15.75" thickBot="1" x14ac:dyDescent="0.3">
      <c r="C44" s="6"/>
      <c r="D44" s="164"/>
      <c r="E44" s="154"/>
      <c r="F44" s="152"/>
      <c r="G44" s="153"/>
      <c r="H44" s="153"/>
      <c r="I44" s="153"/>
      <c r="J44" s="153"/>
      <c r="K44" s="153"/>
      <c r="L44" s="153"/>
      <c r="M44" s="153"/>
      <c r="N44" s="154"/>
      <c r="O44" s="19"/>
      <c r="P44" t="s">
        <v>13</v>
      </c>
      <c r="Q44" s="6" t="s">
        <v>14</v>
      </c>
      <c r="R44" s="152"/>
      <c r="S44" s="154"/>
    </row>
    <row r="45" spans="1:19" ht="15.75" thickBot="1" x14ac:dyDescent="0.3">
      <c r="C45" s="161"/>
      <c r="D45" s="163"/>
      <c r="E45" s="162"/>
      <c r="F45" s="161" t="s">
        <v>130</v>
      </c>
      <c r="G45" s="163"/>
      <c r="H45" s="163"/>
      <c r="I45" s="163"/>
      <c r="J45" s="163"/>
      <c r="K45" s="163"/>
      <c r="L45" s="163"/>
      <c r="M45" s="163"/>
      <c r="N45" s="162"/>
      <c r="O45" s="22"/>
      <c r="P45" s="161"/>
      <c r="Q45" s="162"/>
      <c r="R45" s="161"/>
      <c r="S45" s="162"/>
    </row>
    <row r="46" spans="1:19" ht="15.75" thickBot="1" x14ac:dyDescent="0.3">
      <c r="C46" s="152"/>
      <c r="D46" s="153"/>
      <c r="E46" s="154"/>
      <c r="F46" s="152"/>
      <c r="G46" s="153"/>
      <c r="H46" s="153"/>
      <c r="I46" s="153"/>
      <c r="J46" s="153"/>
      <c r="K46" s="153"/>
      <c r="L46" s="153"/>
      <c r="M46" s="153"/>
      <c r="N46" s="154"/>
      <c r="O46" s="19"/>
      <c r="Q46" s="6"/>
      <c r="R46" s="152"/>
      <c r="S46" s="154"/>
    </row>
    <row r="47" spans="1:19" ht="15.75" thickBot="1" x14ac:dyDescent="0.3">
      <c r="D47" s="155" t="s">
        <v>17</v>
      </c>
      <c r="E47" s="156"/>
      <c r="F47" s="156"/>
      <c r="G47" s="157"/>
      <c r="H47" s="155" t="s">
        <v>18</v>
      </c>
      <c r="I47" s="156"/>
      <c r="J47" s="156"/>
      <c r="K47" s="156"/>
      <c r="L47" s="157"/>
      <c r="M47" s="156" t="s">
        <v>19</v>
      </c>
      <c r="N47" s="157"/>
      <c r="O47" s="44" t="s">
        <v>20</v>
      </c>
      <c r="P47" s="45" t="s">
        <v>21</v>
      </c>
      <c r="Q47" s="158" t="s">
        <v>22</v>
      </c>
      <c r="R47" s="159"/>
    </row>
    <row r="48" spans="1:19" x14ac:dyDescent="0.25">
      <c r="D48" s="189"/>
      <c r="E48" s="190"/>
      <c r="F48" s="190"/>
      <c r="G48" s="191"/>
      <c r="H48" s="189"/>
      <c r="I48" s="190"/>
      <c r="J48" s="190"/>
      <c r="K48" s="190"/>
      <c r="L48" s="191"/>
      <c r="M48" s="190"/>
      <c r="N48" s="191"/>
      <c r="O48" s="51"/>
      <c r="P48" s="46">
        <f>M48*O48</f>
        <v>0</v>
      </c>
      <c r="Q48" s="172">
        <f>SUM(P48:P49)</f>
        <v>0</v>
      </c>
      <c r="R48" s="173"/>
    </row>
    <row r="49" spans="3:19" ht="15.75" thickBot="1" x14ac:dyDescent="0.3">
      <c r="D49" s="192"/>
      <c r="E49" s="193"/>
      <c r="F49" s="193"/>
      <c r="G49" s="194"/>
      <c r="H49" s="192"/>
      <c r="I49" s="193"/>
      <c r="J49" s="193"/>
      <c r="K49" s="193"/>
      <c r="L49" s="194"/>
      <c r="M49" s="193"/>
      <c r="N49" s="194"/>
      <c r="O49" s="47"/>
      <c r="P49" s="48">
        <f>M49*O49</f>
        <v>0</v>
      </c>
      <c r="Q49" s="178"/>
      <c r="R49" s="179"/>
    </row>
    <row r="51" spans="3:19" ht="3" customHeight="1" x14ac:dyDescent="0.25">
      <c r="C51" s="20"/>
      <c r="D51" s="13"/>
      <c r="E51" s="13"/>
      <c r="F51" s="13"/>
      <c r="G51" s="13"/>
      <c r="H51" s="13"/>
      <c r="I51" s="13"/>
      <c r="J51" s="13"/>
      <c r="L51" s="13"/>
      <c r="M51" s="13"/>
      <c r="N51" s="13"/>
      <c r="O51" s="13"/>
      <c r="P51" s="13"/>
      <c r="Q51" s="13"/>
      <c r="R51" s="13"/>
      <c r="S51" s="21"/>
    </row>
    <row r="52" spans="3:19" ht="15.75" thickBot="1" x14ac:dyDescent="0.3"/>
    <row r="53" spans="3:19" ht="15.75" thickBot="1" x14ac:dyDescent="0.3">
      <c r="C53" s="2" t="s">
        <v>1</v>
      </c>
      <c r="D53" s="161" t="s">
        <v>8</v>
      </c>
      <c r="E53" s="162"/>
      <c r="F53" s="161" t="s">
        <v>9</v>
      </c>
      <c r="G53" s="163"/>
      <c r="H53" s="163"/>
      <c r="I53" s="163"/>
      <c r="J53" s="163"/>
      <c r="K53" s="163"/>
      <c r="L53" s="163"/>
      <c r="M53" s="162"/>
      <c r="N53" s="22" t="s">
        <v>10</v>
      </c>
      <c r="O53" s="161" t="s">
        <v>11</v>
      </c>
      <c r="P53" s="162"/>
      <c r="Q53" s="161" t="s">
        <v>12</v>
      </c>
      <c r="R53" s="163"/>
      <c r="S53" s="162"/>
    </row>
    <row r="54" spans="3:19" ht="15.75" thickBot="1" x14ac:dyDescent="0.3">
      <c r="C54" s="6">
        <v>25</v>
      </c>
      <c r="D54" s="164">
        <v>45661</v>
      </c>
      <c r="E54" s="154"/>
      <c r="F54" s="152" t="s">
        <v>151</v>
      </c>
      <c r="G54" s="153"/>
      <c r="H54" s="153"/>
      <c r="I54" s="153"/>
      <c r="J54" s="153"/>
      <c r="K54" s="153"/>
      <c r="L54" s="153"/>
      <c r="M54" s="154"/>
      <c r="N54" s="19">
        <v>1</v>
      </c>
      <c r="O54" s="6" t="s">
        <v>13</v>
      </c>
      <c r="P54" s="77" t="s">
        <v>14</v>
      </c>
      <c r="Q54" s="152" t="s">
        <v>172</v>
      </c>
      <c r="R54" s="153"/>
      <c r="S54" s="154"/>
    </row>
    <row r="55" spans="3:19" ht="15.75" thickBot="1" x14ac:dyDescent="0.3">
      <c r="C55" s="161" t="s">
        <v>15</v>
      </c>
      <c r="D55" s="163"/>
      <c r="E55" s="163"/>
      <c r="F55" s="163"/>
      <c r="G55" s="163"/>
      <c r="H55" s="163"/>
      <c r="I55" s="162"/>
      <c r="J55" s="50"/>
      <c r="K55" s="23"/>
      <c r="L55" s="161" t="s">
        <v>7</v>
      </c>
      <c r="M55" s="163"/>
      <c r="N55" s="163"/>
      <c r="O55" s="163"/>
      <c r="P55" s="163"/>
      <c r="Q55" s="163"/>
      <c r="R55" s="163"/>
      <c r="S55" s="162"/>
    </row>
    <row r="56" spans="3:19" ht="15.75" thickBot="1" x14ac:dyDescent="0.3">
      <c r="C56" s="174" t="s">
        <v>16</v>
      </c>
      <c r="D56" s="175"/>
      <c r="E56" s="7"/>
      <c r="F56" s="7" t="s">
        <v>86</v>
      </c>
      <c r="G56" s="7" t="s">
        <v>87</v>
      </c>
      <c r="H56" s="7"/>
      <c r="I56" s="8"/>
      <c r="J56" s="43"/>
      <c r="K56" s="52"/>
      <c r="L56" s="152" t="s">
        <v>17</v>
      </c>
      <c r="M56" s="154"/>
      <c r="N56" s="9" t="s">
        <v>18</v>
      </c>
      <c r="O56" s="5" t="s">
        <v>19</v>
      </c>
      <c r="P56" s="9" t="s">
        <v>20</v>
      </c>
      <c r="Q56" s="5" t="s">
        <v>21</v>
      </c>
      <c r="R56" s="158" t="s">
        <v>22</v>
      </c>
      <c r="S56" s="159"/>
    </row>
    <row r="57" spans="3:19" x14ac:dyDescent="0.25">
      <c r="C57" s="166" t="s">
        <v>152</v>
      </c>
      <c r="D57" s="180"/>
      <c r="E57" s="10"/>
      <c r="F57" s="11"/>
      <c r="G57" s="11">
        <v>8</v>
      </c>
      <c r="H57" s="11"/>
      <c r="I57" s="12"/>
      <c r="L57" s="195" t="s">
        <v>174</v>
      </c>
      <c r="M57" s="196"/>
      <c r="N57" t="s">
        <v>152</v>
      </c>
      <c r="O57" s="4">
        <v>22</v>
      </c>
      <c r="P57">
        <v>7</v>
      </c>
      <c r="Q57" s="4">
        <f>P57*O57</f>
        <v>154</v>
      </c>
      <c r="R57" s="168">
        <f>SUM(Q57:Q60)</f>
        <v>307.63</v>
      </c>
      <c r="S57" s="169"/>
    </row>
    <row r="58" spans="3:19" x14ac:dyDescent="0.25">
      <c r="C58" s="166" t="s">
        <v>173</v>
      </c>
      <c r="D58" s="180"/>
      <c r="E58" s="10"/>
      <c r="F58" s="11">
        <v>4</v>
      </c>
      <c r="G58" s="11"/>
      <c r="H58" s="11"/>
      <c r="I58" s="12"/>
      <c r="L58" s="195" t="s">
        <v>175</v>
      </c>
      <c r="M58" s="196"/>
      <c r="N58" t="s">
        <v>176</v>
      </c>
      <c r="O58" s="4">
        <v>12</v>
      </c>
      <c r="P58">
        <f>30/12</f>
        <v>2.5</v>
      </c>
      <c r="Q58" s="4">
        <f t="shared" ref="Q58:Q60" si="1">P58*O58</f>
        <v>30</v>
      </c>
      <c r="R58" s="170"/>
      <c r="S58" s="171"/>
    </row>
    <row r="59" spans="3:19" x14ac:dyDescent="0.25">
      <c r="C59" s="166"/>
      <c r="D59" s="180"/>
      <c r="E59" s="10"/>
      <c r="F59" s="11"/>
      <c r="G59" s="11"/>
      <c r="H59" s="11"/>
      <c r="I59" s="12"/>
      <c r="L59" s="195" t="s">
        <v>177</v>
      </c>
      <c r="M59" s="196"/>
      <c r="N59" t="s">
        <v>152</v>
      </c>
      <c r="O59" s="4">
        <v>2</v>
      </c>
      <c r="P59">
        <v>27</v>
      </c>
      <c r="Q59" s="4">
        <f t="shared" si="1"/>
        <v>54</v>
      </c>
      <c r="R59" s="170"/>
      <c r="S59" s="171"/>
    </row>
    <row r="60" spans="3:19" ht="15.75" thickBot="1" x14ac:dyDescent="0.3">
      <c r="C60" s="166"/>
      <c r="D60" s="180"/>
      <c r="E60" s="10"/>
      <c r="F60" s="11"/>
      <c r="G60" s="11"/>
      <c r="H60" s="11"/>
      <c r="I60" s="12"/>
      <c r="L60" s="197" t="s">
        <v>212</v>
      </c>
      <c r="M60" s="198"/>
      <c r="N60" s="18"/>
      <c r="O60" s="6">
        <v>1</v>
      </c>
      <c r="P60" s="18">
        <v>69.63</v>
      </c>
      <c r="Q60" s="6">
        <f t="shared" si="1"/>
        <v>69.63</v>
      </c>
      <c r="R60" s="181"/>
      <c r="S60" s="182"/>
    </row>
    <row r="62" spans="3:19" ht="3" customHeight="1" x14ac:dyDescent="0.25">
      <c r="C62" s="20"/>
      <c r="D62" s="13"/>
      <c r="E62" s="13"/>
      <c r="F62" s="13"/>
      <c r="G62" s="13"/>
      <c r="H62" s="13"/>
      <c r="I62" s="13"/>
      <c r="J62" s="13"/>
      <c r="L62" s="13"/>
      <c r="M62" s="13"/>
      <c r="N62" s="13"/>
      <c r="O62" s="13"/>
      <c r="P62" s="13"/>
      <c r="Q62" s="13"/>
      <c r="R62" s="13"/>
      <c r="S62" s="21"/>
    </row>
    <row r="63" spans="3:19" ht="15.75" thickBot="1" x14ac:dyDescent="0.3"/>
    <row r="64" spans="3:19" ht="15.75" thickBot="1" x14ac:dyDescent="0.3">
      <c r="C64" s="2" t="s">
        <v>1</v>
      </c>
      <c r="D64" s="161" t="s">
        <v>8</v>
      </c>
      <c r="E64" s="162"/>
      <c r="F64" s="161" t="s">
        <v>9</v>
      </c>
      <c r="G64" s="163"/>
      <c r="H64" s="163"/>
      <c r="I64" s="163"/>
      <c r="J64" s="163"/>
      <c r="K64" s="163"/>
      <c r="L64" s="163"/>
      <c r="M64" s="162"/>
      <c r="N64" s="22" t="s">
        <v>10</v>
      </c>
      <c r="O64" s="161" t="s">
        <v>11</v>
      </c>
      <c r="P64" s="162"/>
      <c r="Q64" s="161" t="s">
        <v>12</v>
      </c>
      <c r="R64" s="163"/>
      <c r="S64" s="162"/>
    </row>
    <row r="65" spans="3:19" ht="15.75" thickBot="1" x14ac:dyDescent="0.3">
      <c r="C65" s="6">
        <v>53</v>
      </c>
      <c r="D65" s="164">
        <v>45665</v>
      </c>
      <c r="E65" s="154"/>
      <c r="F65" s="152" t="s">
        <v>158</v>
      </c>
      <c r="G65" s="153"/>
      <c r="H65" s="153"/>
      <c r="I65" s="153"/>
      <c r="J65" s="153"/>
      <c r="K65" s="153"/>
      <c r="L65" s="153"/>
      <c r="M65" s="154"/>
      <c r="N65" s="19">
        <v>21</v>
      </c>
      <c r="O65" s="6" t="s">
        <v>13</v>
      </c>
      <c r="P65" s="77" t="s">
        <v>14</v>
      </c>
      <c r="Q65" s="152" t="s">
        <v>172</v>
      </c>
      <c r="R65" s="153"/>
      <c r="S65" s="154"/>
    </row>
    <row r="66" spans="3:19" ht="15.75" thickBot="1" x14ac:dyDescent="0.3">
      <c r="C66" s="161" t="s">
        <v>15</v>
      </c>
      <c r="D66" s="163"/>
      <c r="E66" s="163"/>
      <c r="F66" s="163"/>
      <c r="G66" s="163"/>
      <c r="H66" s="163"/>
      <c r="I66" s="162"/>
      <c r="J66" s="50"/>
      <c r="K66" s="23"/>
      <c r="L66" s="161" t="s">
        <v>7</v>
      </c>
      <c r="M66" s="163"/>
      <c r="N66" s="163"/>
      <c r="O66" s="163"/>
      <c r="P66" s="163"/>
      <c r="Q66" s="163"/>
      <c r="R66" s="163"/>
      <c r="S66" s="162"/>
    </row>
    <row r="67" spans="3:19" ht="15.75" thickBot="1" x14ac:dyDescent="0.3">
      <c r="C67" s="174" t="s">
        <v>16</v>
      </c>
      <c r="D67" s="175"/>
      <c r="E67" s="7"/>
      <c r="F67" s="7" t="s">
        <v>86</v>
      </c>
      <c r="G67" s="7" t="s">
        <v>87</v>
      </c>
      <c r="H67" s="7"/>
      <c r="I67" s="8"/>
      <c r="J67" s="43"/>
      <c r="K67" s="52"/>
      <c r="L67" s="152" t="s">
        <v>17</v>
      </c>
      <c r="M67" s="154"/>
      <c r="N67" s="9" t="s">
        <v>18</v>
      </c>
      <c r="O67" s="5" t="s">
        <v>19</v>
      </c>
      <c r="P67" s="9" t="s">
        <v>20</v>
      </c>
      <c r="Q67" s="5" t="s">
        <v>21</v>
      </c>
      <c r="R67" s="158" t="s">
        <v>22</v>
      </c>
      <c r="S67" s="159"/>
    </row>
    <row r="68" spans="3:19" x14ac:dyDescent="0.25">
      <c r="C68" s="166" t="s">
        <v>152</v>
      </c>
      <c r="D68" s="180"/>
      <c r="E68" s="10"/>
      <c r="F68" s="11">
        <v>3</v>
      </c>
      <c r="G68" s="11">
        <v>1</v>
      </c>
      <c r="H68" s="11"/>
      <c r="I68" s="12"/>
      <c r="L68" s="176" t="s">
        <v>174</v>
      </c>
      <c r="M68" s="177"/>
      <c r="N68" s="42" t="s">
        <v>152</v>
      </c>
      <c r="O68" s="34">
        <v>20</v>
      </c>
      <c r="P68" s="42">
        <v>2.5</v>
      </c>
      <c r="Q68" s="34">
        <f>P68*O68</f>
        <v>50</v>
      </c>
      <c r="R68" s="168">
        <f>SUM(Q68:Q69)</f>
        <v>90</v>
      </c>
      <c r="S68" s="169"/>
    </row>
    <row r="69" spans="3:19" ht="15.75" thickBot="1" x14ac:dyDescent="0.3">
      <c r="C69" s="166"/>
      <c r="D69" s="180"/>
      <c r="E69" s="10"/>
      <c r="F69" s="11"/>
      <c r="G69" s="11"/>
      <c r="H69" s="11"/>
      <c r="I69" s="12"/>
      <c r="L69" s="197" t="s">
        <v>196</v>
      </c>
      <c r="M69" s="198"/>
      <c r="N69" s="18" t="s">
        <v>152</v>
      </c>
      <c r="O69" s="6">
        <v>4</v>
      </c>
      <c r="P69" s="18">
        <v>10</v>
      </c>
      <c r="Q69" s="6">
        <f t="shared" ref="Q69" si="2">P69*O69</f>
        <v>40</v>
      </c>
      <c r="R69" s="181"/>
      <c r="S69" s="182"/>
    </row>
    <row r="71" spans="3:19" ht="3" customHeight="1" x14ac:dyDescent="0.25">
      <c r="C71" s="20"/>
      <c r="D71" s="13"/>
      <c r="E71" s="13"/>
      <c r="F71" s="13"/>
      <c r="G71" s="13"/>
      <c r="H71" s="13"/>
      <c r="I71" s="13"/>
      <c r="J71" s="13"/>
      <c r="L71" s="13"/>
      <c r="M71" s="13"/>
      <c r="N71" s="13"/>
      <c r="O71" s="13"/>
      <c r="P71" s="13"/>
      <c r="Q71" s="13"/>
      <c r="R71" s="13"/>
      <c r="S71" s="21"/>
    </row>
    <row r="72" spans="3:19" ht="15.75" thickBot="1" x14ac:dyDescent="0.3"/>
    <row r="73" spans="3:19" ht="15.75" thickBot="1" x14ac:dyDescent="0.3">
      <c r="C73" s="2" t="s">
        <v>1</v>
      </c>
      <c r="D73" s="161" t="s">
        <v>8</v>
      </c>
      <c r="E73" s="162"/>
      <c r="F73" s="161" t="s">
        <v>9</v>
      </c>
      <c r="G73" s="163"/>
      <c r="H73" s="163"/>
      <c r="I73" s="163"/>
      <c r="J73" s="163"/>
      <c r="K73" s="163"/>
      <c r="L73" s="163"/>
      <c r="M73" s="162"/>
      <c r="N73" s="22" t="s">
        <v>10</v>
      </c>
      <c r="O73" s="161" t="s">
        <v>11</v>
      </c>
      <c r="P73" s="162"/>
      <c r="Q73" s="161" t="s">
        <v>12</v>
      </c>
      <c r="R73" s="163"/>
      <c r="S73" s="162"/>
    </row>
    <row r="74" spans="3:19" ht="15.75" thickBot="1" x14ac:dyDescent="0.3">
      <c r="C74" s="6">
        <v>69</v>
      </c>
      <c r="D74" s="164">
        <v>45667</v>
      </c>
      <c r="E74" s="154"/>
      <c r="F74" s="152" t="s">
        <v>151</v>
      </c>
      <c r="G74" s="153"/>
      <c r="H74" s="153"/>
      <c r="I74" s="153"/>
      <c r="J74" s="153"/>
      <c r="K74" s="153"/>
      <c r="L74" s="153"/>
      <c r="M74" s="154"/>
      <c r="N74" s="19">
        <v>1</v>
      </c>
      <c r="O74" s="6" t="s">
        <v>13</v>
      </c>
      <c r="P74" s="77" t="s">
        <v>14</v>
      </c>
      <c r="Q74" s="152" t="s">
        <v>172</v>
      </c>
      <c r="R74" s="153"/>
      <c r="S74" s="154"/>
    </row>
    <row r="75" spans="3:19" ht="15.75" thickBot="1" x14ac:dyDescent="0.3">
      <c r="C75" s="161" t="s">
        <v>15</v>
      </c>
      <c r="D75" s="163"/>
      <c r="E75" s="163"/>
      <c r="F75" s="163"/>
      <c r="G75" s="163"/>
      <c r="H75" s="163"/>
      <c r="I75" s="162"/>
      <c r="J75" s="50"/>
      <c r="K75" s="23"/>
      <c r="L75" s="161" t="s">
        <v>7</v>
      </c>
      <c r="M75" s="163"/>
      <c r="N75" s="163"/>
      <c r="O75" s="163"/>
      <c r="P75" s="163"/>
      <c r="Q75" s="163"/>
      <c r="R75" s="163"/>
      <c r="S75" s="162"/>
    </row>
    <row r="76" spans="3:19" ht="15.75" thickBot="1" x14ac:dyDescent="0.3">
      <c r="C76" s="174" t="s">
        <v>16</v>
      </c>
      <c r="D76" s="175"/>
      <c r="E76" s="7" t="s">
        <v>84</v>
      </c>
      <c r="F76" s="7" t="s">
        <v>85</v>
      </c>
      <c r="G76" s="7" t="s">
        <v>86</v>
      </c>
      <c r="H76" s="7" t="s">
        <v>87</v>
      </c>
      <c r="I76" s="8" t="s">
        <v>88</v>
      </c>
      <c r="J76" s="43"/>
      <c r="K76" s="52"/>
      <c r="L76" s="176" t="s">
        <v>17</v>
      </c>
      <c r="M76" s="177"/>
      <c r="N76" s="42" t="s">
        <v>18</v>
      </c>
      <c r="O76" s="34" t="s">
        <v>19</v>
      </c>
      <c r="P76" s="42" t="s">
        <v>20</v>
      </c>
      <c r="Q76" s="34" t="s">
        <v>21</v>
      </c>
      <c r="R76" s="158" t="s">
        <v>22</v>
      </c>
      <c r="S76" s="159"/>
    </row>
    <row r="77" spans="3:19" x14ac:dyDescent="0.25">
      <c r="C77" s="85" t="s">
        <v>152</v>
      </c>
      <c r="D77" s="84"/>
      <c r="E77" s="10"/>
      <c r="F77" s="11">
        <v>32</v>
      </c>
      <c r="G77" s="11">
        <f>F77+H77</f>
        <v>62</v>
      </c>
      <c r="H77" s="11">
        <v>30</v>
      </c>
      <c r="I77" s="12"/>
      <c r="L77" s="165" t="s">
        <v>174</v>
      </c>
      <c r="M77" s="145"/>
      <c r="N77" s="83" t="s">
        <v>152</v>
      </c>
      <c r="O77" s="83">
        <v>70</v>
      </c>
      <c r="P77" s="83">
        <f>1290/O77</f>
        <v>18.428571428571427</v>
      </c>
      <c r="Q77" s="84">
        <f>P77*O77</f>
        <v>1290</v>
      </c>
      <c r="R77" s="168">
        <f>SUM(Q77:Q82)</f>
        <v>13389</v>
      </c>
      <c r="S77" s="169"/>
    </row>
    <row r="78" spans="3:19" x14ac:dyDescent="0.25">
      <c r="C78" s="86" t="s">
        <v>216</v>
      </c>
      <c r="D78" s="12"/>
      <c r="E78" s="10"/>
      <c r="F78" s="11">
        <v>12</v>
      </c>
      <c r="G78" s="11">
        <f t="shared" ref="G78:G80" si="3">F78+H78</f>
        <v>24</v>
      </c>
      <c r="H78" s="11">
        <v>12</v>
      </c>
      <c r="I78" s="12"/>
      <c r="L78" s="166" t="s">
        <v>177</v>
      </c>
      <c r="M78" s="167"/>
      <c r="N78" s="11" t="s">
        <v>152</v>
      </c>
      <c r="O78" s="11">
        <v>16.399999999999999</v>
      </c>
      <c r="P78" s="11">
        <f>1110/O78</f>
        <v>67.682926829268297</v>
      </c>
      <c r="Q78" s="12">
        <f>P78*O78</f>
        <v>1110</v>
      </c>
      <c r="R78" s="170"/>
      <c r="S78" s="171"/>
    </row>
    <row r="79" spans="3:19" x14ac:dyDescent="0.25">
      <c r="C79" s="86" t="s">
        <v>173</v>
      </c>
      <c r="D79" s="12"/>
      <c r="E79" s="10"/>
      <c r="F79" s="11">
        <v>12</v>
      </c>
      <c r="G79" s="11">
        <f t="shared" si="3"/>
        <v>24</v>
      </c>
      <c r="H79" s="11">
        <v>12</v>
      </c>
      <c r="I79" s="12"/>
      <c r="L79" s="166" t="s">
        <v>215</v>
      </c>
      <c r="M79" s="167"/>
      <c r="N79" s="11" t="s">
        <v>152</v>
      </c>
      <c r="O79" s="11">
        <v>200</v>
      </c>
      <c r="P79" s="11">
        <v>22.2</v>
      </c>
      <c r="Q79" s="12">
        <f>P79*O79</f>
        <v>4440</v>
      </c>
      <c r="R79" s="170"/>
      <c r="S79" s="171"/>
    </row>
    <row r="80" spans="3:19" x14ac:dyDescent="0.25">
      <c r="C80" s="86" t="s">
        <v>162</v>
      </c>
      <c r="D80" s="12"/>
      <c r="E80" s="10"/>
      <c r="F80" s="11">
        <v>12</v>
      </c>
      <c r="G80" s="11">
        <f t="shared" si="3"/>
        <v>24</v>
      </c>
      <c r="H80" s="11">
        <v>12</v>
      </c>
      <c r="I80" s="12"/>
      <c r="L80" s="166"/>
      <c r="M80" s="167"/>
      <c r="N80" s="11" t="s">
        <v>216</v>
      </c>
      <c r="O80" s="11">
        <v>100</v>
      </c>
      <c r="P80" s="11">
        <v>22.2</v>
      </c>
      <c r="Q80" s="12">
        <f t="shared" ref="Q80:Q82" si="4">P80*O80</f>
        <v>2220</v>
      </c>
      <c r="R80" s="170"/>
      <c r="S80" s="171"/>
    </row>
    <row r="81" spans="3:19" x14ac:dyDescent="0.25">
      <c r="C81" s="166"/>
      <c r="D81" s="180"/>
      <c r="E81" s="10"/>
      <c r="F81" s="11"/>
      <c r="G81" s="11"/>
      <c r="H81" s="11"/>
      <c r="I81" s="12"/>
      <c r="L81" s="166"/>
      <c r="M81" s="167"/>
      <c r="N81" s="11" t="s">
        <v>173</v>
      </c>
      <c r="O81" s="11">
        <v>95</v>
      </c>
      <c r="P81" s="11">
        <v>22.2</v>
      </c>
      <c r="Q81" s="12">
        <f t="shared" si="4"/>
        <v>2109</v>
      </c>
      <c r="R81" s="170"/>
      <c r="S81" s="171"/>
    </row>
    <row r="82" spans="3:19" ht="15.75" thickBot="1" x14ac:dyDescent="0.3">
      <c r="C82" s="183"/>
      <c r="D82" s="184"/>
      <c r="E82" s="10"/>
      <c r="F82" s="11"/>
      <c r="G82" s="11"/>
      <c r="H82" s="11"/>
      <c r="I82" s="12"/>
      <c r="L82" s="166"/>
      <c r="M82" s="167"/>
      <c r="N82" s="11" t="s">
        <v>162</v>
      </c>
      <c r="O82" s="11">
        <v>100</v>
      </c>
      <c r="P82" s="11">
        <v>22.2</v>
      </c>
      <c r="Q82" s="12">
        <f t="shared" si="4"/>
        <v>2220</v>
      </c>
      <c r="R82" s="181"/>
      <c r="S82" s="182"/>
    </row>
    <row r="83" spans="3:19" x14ac:dyDescent="0.25">
      <c r="J83">
        <f>SUM(E77:I80)</f>
        <v>268</v>
      </c>
    </row>
    <row r="84" spans="3:19" ht="3" customHeight="1" x14ac:dyDescent="0.25">
      <c r="C84" s="20"/>
      <c r="D84" s="13"/>
      <c r="E84" s="13"/>
      <c r="F84" s="13"/>
      <c r="G84" s="13"/>
      <c r="H84" s="13"/>
      <c r="I84" s="13"/>
      <c r="J84" s="13"/>
      <c r="L84" s="13"/>
      <c r="M84" s="13"/>
      <c r="N84" s="13"/>
      <c r="O84" s="13"/>
      <c r="P84" s="13"/>
      <c r="Q84" s="13"/>
      <c r="R84" s="13"/>
      <c r="S84" s="21"/>
    </row>
    <row r="85" spans="3:19" ht="15.75" thickBot="1" x14ac:dyDescent="0.3"/>
    <row r="86" spans="3:19" ht="15.75" thickBot="1" x14ac:dyDescent="0.3">
      <c r="C86" s="2" t="s">
        <v>1</v>
      </c>
      <c r="D86" s="161" t="s">
        <v>8</v>
      </c>
      <c r="E86" s="162"/>
      <c r="F86" s="161" t="s">
        <v>9</v>
      </c>
      <c r="G86" s="163"/>
      <c r="H86" s="163"/>
      <c r="I86" s="163"/>
      <c r="J86" s="163"/>
      <c r="K86" s="163"/>
      <c r="L86" s="163"/>
      <c r="M86" s="163"/>
      <c r="N86" s="162"/>
      <c r="O86" s="22" t="s">
        <v>10</v>
      </c>
      <c r="P86" s="161" t="s">
        <v>11</v>
      </c>
      <c r="Q86" s="162"/>
      <c r="R86" s="161" t="s">
        <v>12</v>
      </c>
      <c r="S86" s="162"/>
    </row>
    <row r="87" spans="3:19" ht="15.75" thickBot="1" x14ac:dyDescent="0.3">
      <c r="C87" s="6">
        <v>83</v>
      </c>
      <c r="D87" s="164">
        <v>45670</v>
      </c>
      <c r="E87" s="154"/>
      <c r="F87" s="152" t="s">
        <v>151</v>
      </c>
      <c r="G87" s="153"/>
      <c r="H87" s="153"/>
      <c r="I87" s="153"/>
      <c r="J87" s="153"/>
      <c r="K87" s="153"/>
      <c r="L87" s="153"/>
      <c r="M87" s="153"/>
      <c r="N87" s="154"/>
      <c r="O87" s="19">
        <v>1</v>
      </c>
      <c r="P87" t="s">
        <v>13</v>
      </c>
      <c r="Q87" s="77" t="s">
        <v>14</v>
      </c>
      <c r="R87" s="152" t="s">
        <v>172</v>
      </c>
      <c r="S87" s="154"/>
    </row>
    <row r="88" spans="3:19" ht="15.75" thickBot="1" x14ac:dyDescent="0.3">
      <c r="C88" s="161"/>
      <c r="D88" s="163"/>
      <c r="E88" s="162"/>
      <c r="F88" s="161" t="s">
        <v>130</v>
      </c>
      <c r="G88" s="163"/>
      <c r="H88" s="163"/>
      <c r="I88" s="163"/>
      <c r="J88" s="163"/>
      <c r="K88" s="163"/>
      <c r="L88" s="163"/>
      <c r="M88" s="163"/>
      <c r="N88" s="162"/>
      <c r="O88" s="22"/>
      <c r="P88" s="161"/>
      <c r="Q88" s="162"/>
      <c r="R88" s="161"/>
      <c r="S88" s="162"/>
    </row>
    <row r="89" spans="3:19" ht="15.75" thickBot="1" x14ac:dyDescent="0.3">
      <c r="C89" s="152"/>
      <c r="D89" s="153"/>
      <c r="E89" s="154"/>
      <c r="F89" s="152">
        <v>69</v>
      </c>
      <c r="G89" s="153"/>
      <c r="H89" s="153"/>
      <c r="I89" s="153"/>
      <c r="J89" s="153"/>
      <c r="K89" s="153"/>
      <c r="L89" s="153"/>
      <c r="M89" s="153"/>
      <c r="N89" s="154"/>
      <c r="O89" s="19"/>
      <c r="Q89" s="6"/>
      <c r="R89" s="152"/>
      <c r="S89" s="154"/>
    </row>
    <row r="90" spans="3:19" ht="15.75" thickBot="1" x14ac:dyDescent="0.3">
      <c r="D90" s="155" t="s">
        <v>17</v>
      </c>
      <c r="E90" s="156"/>
      <c r="F90" s="156"/>
      <c r="G90" s="157"/>
      <c r="H90" s="155" t="s">
        <v>18</v>
      </c>
      <c r="I90" s="156"/>
      <c r="J90" s="156"/>
      <c r="K90" s="156"/>
      <c r="L90" s="157"/>
      <c r="M90" s="156" t="s">
        <v>19</v>
      </c>
      <c r="N90" s="157"/>
      <c r="O90" s="44" t="s">
        <v>20</v>
      </c>
      <c r="P90" s="45" t="s">
        <v>21</v>
      </c>
      <c r="Q90" s="158" t="s">
        <v>22</v>
      </c>
      <c r="R90" s="159"/>
    </row>
    <row r="91" spans="3:19" ht="15.75" thickBot="1" x14ac:dyDescent="0.3">
      <c r="D91" s="155" t="s">
        <v>218</v>
      </c>
      <c r="E91" s="156"/>
      <c r="F91" s="156"/>
      <c r="G91" s="157"/>
      <c r="H91" s="155" t="s">
        <v>219</v>
      </c>
      <c r="I91" s="156"/>
      <c r="J91" s="156"/>
      <c r="K91" s="156"/>
      <c r="L91" s="157"/>
      <c r="M91" s="156">
        <v>240</v>
      </c>
      <c r="N91" s="157"/>
      <c r="O91" s="44">
        <f>71/120</f>
        <v>0.59166666666666667</v>
      </c>
      <c r="P91" s="45">
        <f>M91*O91</f>
        <v>142</v>
      </c>
      <c r="Q91" s="205">
        <f>SUM(P91:P91)</f>
        <v>142</v>
      </c>
      <c r="R91" s="206"/>
    </row>
    <row r="93" spans="3:19" ht="3" customHeight="1" x14ac:dyDescent="0.25">
      <c r="C93" s="20"/>
      <c r="D93" s="13"/>
      <c r="E93" s="13"/>
      <c r="F93" s="13"/>
      <c r="G93" s="13"/>
      <c r="H93" s="13"/>
      <c r="I93" s="13"/>
      <c r="J93" s="13"/>
      <c r="L93" s="13"/>
      <c r="M93" s="13"/>
      <c r="N93" s="13"/>
      <c r="O93" s="13"/>
      <c r="P93" s="13"/>
      <c r="Q93" s="13"/>
      <c r="R93" s="13"/>
      <c r="S93" s="21"/>
    </row>
    <row r="94" spans="3:19" ht="15.75" thickBot="1" x14ac:dyDescent="0.3"/>
    <row r="95" spans="3:19" ht="15.75" thickBot="1" x14ac:dyDescent="0.3">
      <c r="C95" s="2" t="s">
        <v>1</v>
      </c>
      <c r="D95" s="161" t="s">
        <v>8</v>
      </c>
      <c r="E95" s="162"/>
      <c r="F95" s="161" t="s">
        <v>9</v>
      </c>
      <c r="G95" s="163"/>
      <c r="H95" s="163"/>
      <c r="I95" s="163"/>
      <c r="J95" s="163"/>
      <c r="K95" s="163"/>
      <c r="L95" s="163"/>
      <c r="M95" s="162"/>
      <c r="N95" s="22" t="s">
        <v>10</v>
      </c>
      <c r="O95" s="161" t="s">
        <v>11</v>
      </c>
      <c r="P95" s="162"/>
      <c r="Q95" s="161" t="s">
        <v>12</v>
      </c>
      <c r="R95" s="163"/>
      <c r="S95" s="162"/>
    </row>
    <row r="96" spans="3:19" ht="15.75" thickBot="1" x14ac:dyDescent="0.3">
      <c r="C96" s="6">
        <v>97</v>
      </c>
      <c r="D96" s="164">
        <v>45672</v>
      </c>
      <c r="E96" s="154"/>
      <c r="F96" s="152" t="s">
        <v>151</v>
      </c>
      <c r="G96" s="153"/>
      <c r="H96" s="153"/>
      <c r="I96" s="153"/>
      <c r="J96" s="153"/>
      <c r="K96" s="153"/>
      <c r="L96" s="153"/>
      <c r="M96" s="154"/>
      <c r="N96" s="19">
        <v>1</v>
      </c>
      <c r="O96" s="77" t="s">
        <v>13</v>
      </c>
      <c r="P96" t="s">
        <v>14</v>
      </c>
      <c r="Q96" s="152" t="s">
        <v>230</v>
      </c>
      <c r="R96" s="153"/>
      <c r="S96" s="154"/>
    </row>
    <row r="97" spans="3:19" ht="15.75" thickBot="1" x14ac:dyDescent="0.3">
      <c r="C97" s="161" t="s">
        <v>15</v>
      </c>
      <c r="D97" s="163"/>
      <c r="E97" s="163"/>
      <c r="F97" s="163"/>
      <c r="G97" s="163"/>
      <c r="H97" s="163"/>
      <c r="I97" s="162"/>
      <c r="J97" s="50"/>
      <c r="K97" s="23"/>
      <c r="L97" s="161" t="s">
        <v>7</v>
      </c>
      <c r="M97" s="163"/>
      <c r="N97" s="163"/>
      <c r="O97" s="163"/>
      <c r="P97" s="163"/>
      <c r="Q97" s="163"/>
      <c r="R97" s="163"/>
      <c r="S97" s="162"/>
    </row>
    <row r="98" spans="3:19" ht="15.75" thickBot="1" x14ac:dyDescent="0.3">
      <c r="C98" s="174" t="s">
        <v>16</v>
      </c>
      <c r="D98" s="175"/>
      <c r="E98" s="7" t="s">
        <v>84</v>
      </c>
      <c r="F98" s="7" t="s">
        <v>85</v>
      </c>
      <c r="G98" s="7" t="s">
        <v>86</v>
      </c>
      <c r="H98" s="7" t="s">
        <v>87</v>
      </c>
      <c r="I98" s="8" t="s">
        <v>88</v>
      </c>
      <c r="J98" s="43"/>
      <c r="K98" s="52"/>
      <c r="L98" s="176" t="s">
        <v>17</v>
      </c>
      <c r="M98" s="177"/>
      <c r="N98" s="42" t="s">
        <v>18</v>
      </c>
      <c r="O98" s="34" t="s">
        <v>19</v>
      </c>
      <c r="P98" s="42" t="s">
        <v>20</v>
      </c>
      <c r="Q98" s="34" t="s">
        <v>21</v>
      </c>
      <c r="R98" s="158" t="s">
        <v>22</v>
      </c>
      <c r="S98" s="159"/>
    </row>
    <row r="99" spans="3:19" x14ac:dyDescent="0.25">
      <c r="C99" s="166" t="s">
        <v>216</v>
      </c>
      <c r="D99" s="180"/>
      <c r="E99" s="10"/>
      <c r="F99" s="11">
        <v>1</v>
      </c>
      <c r="G99" s="11"/>
      <c r="H99" s="11">
        <v>3</v>
      </c>
      <c r="I99" s="12">
        <v>2</v>
      </c>
      <c r="L99" s="165" t="s">
        <v>174</v>
      </c>
      <c r="M99" s="145"/>
      <c r="N99" s="83" t="s">
        <v>152</v>
      </c>
      <c r="O99" s="83">
        <v>12</v>
      </c>
      <c r="P99" s="83">
        <v>20</v>
      </c>
      <c r="Q99" s="84">
        <f>P99*O99</f>
        <v>240</v>
      </c>
      <c r="R99" s="168">
        <f>SUM(Q99:Q103)</f>
        <v>909.5</v>
      </c>
      <c r="S99" s="169"/>
    </row>
    <row r="100" spans="3:19" x14ac:dyDescent="0.25">
      <c r="C100" s="166" t="s">
        <v>226</v>
      </c>
      <c r="D100" s="180"/>
      <c r="E100" s="10"/>
      <c r="F100" s="11"/>
      <c r="G100" s="11"/>
      <c r="H100" s="11"/>
      <c r="I100" s="12">
        <v>2</v>
      </c>
      <c r="L100" s="166" t="s">
        <v>196</v>
      </c>
      <c r="M100" s="167"/>
      <c r="N100" s="11" t="s">
        <v>154</v>
      </c>
      <c r="O100" s="11">
        <v>4</v>
      </c>
      <c r="P100" s="11">
        <v>10</v>
      </c>
      <c r="Q100" s="12">
        <f>P100*O100</f>
        <v>40</v>
      </c>
      <c r="R100" s="170"/>
      <c r="S100" s="171"/>
    </row>
    <row r="101" spans="3:19" x14ac:dyDescent="0.25">
      <c r="C101" s="166"/>
      <c r="D101" s="180"/>
      <c r="E101" s="10"/>
      <c r="F101" s="11"/>
      <c r="G101" s="11"/>
      <c r="H101" s="11"/>
      <c r="I101" s="12"/>
      <c r="L101" s="166" t="s">
        <v>227</v>
      </c>
      <c r="M101" s="167"/>
      <c r="N101" s="11" t="s">
        <v>154</v>
      </c>
      <c r="O101" s="11">
        <v>6</v>
      </c>
      <c r="P101" s="11">
        <f>47/12</f>
        <v>3.9166666666666665</v>
      </c>
      <c r="Q101" s="12">
        <f>P101*O101</f>
        <v>23.5</v>
      </c>
      <c r="R101" s="170"/>
      <c r="S101" s="171"/>
    </row>
    <row r="102" spans="3:19" x14ac:dyDescent="0.25">
      <c r="C102" s="166"/>
      <c r="D102" s="180"/>
      <c r="E102" s="10"/>
      <c r="F102" s="11"/>
      <c r="G102" s="11"/>
      <c r="H102" s="11"/>
      <c r="I102" s="12"/>
      <c r="L102" s="166" t="s">
        <v>228</v>
      </c>
      <c r="M102" s="167"/>
      <c r="N102" s="11" t="s">
        <v>152</v>
      </c>
      <c r="O102" s="11">
        <v>10</v>
      </c>
      <c r="P102" s="11">
        <v>5</v>
      </c>
      <c r="Q102" s="12">
        <f t="shared" ref="Q102" si="5">P102*O102</f>
        <v>50</v>
      </c>
      <c r="R102" s="170"/>
      <c r="S102" s="171"/>
    </row>
    <row r="103" spans="3:19" ht="15.75" thickBot="1" x14ac:dyDescent="0.3">
      <c r="C103" s="183"/>
      <c r="D103" s="184"/>
      <c r="E103" s="10"/>
      <c r="F103" s="11"/>
      <c r="G103" s="11"/>
      <c r="H103" s="11"/>
      <c r="I103" s="12"/>
      <c r="L103" s="166" t="s">
        <v>218</v>
      </c>
      <c r="M103" s="167"/>
      <c r="N103" s="11" t="s">
        <v>176</v>
      </c>
      <c r="O103" s="11">
        <v>2</v>
      </c>
      <c r="P103" s="11">
        <v>278</v>
      </c>
      <c r="Q103" s="12">
        <f>P103*O103</f>
        <v>556</v>
      </c>
      <c r="R103" s="181"/>
      <c r="S103" s="182"/>
    </row>
    <row r="104" spans="3:19" x14ac:dyDescent="0.25">
      <c r="J104">
        <f>SUM(E99:I102)</f>
        <v>8</v>
      </c>
    </row>
    <row r="105" spans="3:19" ht="3" customHeight="1" x14ac:dyDescent="0.25">
      <c r="C105" s="20"/>
      <c r="D105" s="13"/>
      <c r="E105" s="13"/>
      <c r="F105" s="13"/>
      <c r="G105" s="13"/>
      <c r="H105" s="13"/>
      <c r="I105" s="13"/>
      <c r="J105" s="13"/>
      <c r="L105" s="13"/>
      <c r="M105" s="13"/>
      <c r="N105" s="13"/>
      <c r="O105" s="13"/>
      <c r="P105" s="13"/>
      <c r="Q105" s="13"/>
      <c r="R105" s="13"/>
      <c r="S105" s="21"/>
    </row>
    <row r="106" spans="3:19" ht="15.75" thickBot="1" x14ac:dyDescent="0.3"/>
    <row r="107" spans="3:19" ht="15.75" thickBot="1" x14ac:dyDescent="0.3">
      <c r="C107" s="2" t="s">
        <v>1</v>
      </c>
      <c r="D107" s="161" t="s">
        <v>8</v>
      </c>
      <c r="E107" s="162"/>
      <c r="F107" s="161" t="s">
        <v>9</v>
      </c>
      <c r="G107" s="163"/>
      <c r="H107" s="163"/>
      <c r="I107" s="163"/>
      <c r="J107" s="163"/>
      <c r="K107" s="163"/>
      <c r="L107" s="163"/>
      <c r="M107" s="162"/>
      <c r="N107" s="22" t="s">
        <v>10</v>
      </c>
      <c r="O107" s="161" t="s">
        <v>11</v>
      </c>
      <c r="P107" s="162"/>
      <c r="Q107" s="161" t="s">
        <v>12</v>
      </c>
      <c r="R107" s="163"/>
      <c r="S107" s="162"/>
    </row>
    <row r="108" spans="3:19" ht="15.75" thickBot="1" x14ac:dyDescent="0.3">
      <c r="C108" s="6">
        <v>99</v>
      </c>
      <c r="D108" s="164">
        <v>45673</v>
      </c>
      <c r="E108" s="154"/>
      <c r="F108" s="152" t="s">
        <v>151</v>
      </c>
      <c r="G108" s="153"/>
      <c r="H108" s="153"/>
      <c r="I108" s="153"/>
      <c r="J108" s="153"/>
      <c r="K108" s="153"/>
      <c r="L108" s="153"/>
      <c r="M108" s="154"/>
      <c r="N108" s="19">
        <v>1</v>
      </c>
      <c r="O108" s="77" t="s">
        <v>13</v>
      </c>
      <c r="P108" t="s">
        <v>14</v>
      </c>
      <c r="Q108" s="152" t="s">
        <v>231</v>
      </c>
      <c r="R108" s="153"/>
      <c r="S108" s="154"/>
    </row>
    <row r="109" spans="3:19" ht="15.75" thickBot="1" x14ac:dyDescent="0.3">
      <c r="C109" s="161" t="s">
        <v>15</v>
      </c>
      <c r="D109" s="163"/>
      <c r="E109" s="163"/>
      <c r="F109" s="163"/>
      <c r="G109" s="163"/>
      <c r="H109" s="163"/>
      <c r="I109" s="162"/>
      <c r="J109" s="50"/>
      <c r="K109" s="23"/>
      <c r="L109" s="161" t="s">
        <v>7</v>
      </c>
      <c r="M109" s="163"/>
      <c r="N109" s="163"/>
      <c r="O109" s="163"/>
      <c r="P109" s="163"/>
      <c r="Q109" s="163"/>
      <c r="R109" s="163"/>
      <c r="S109" s="162"/>
    </row>
    <row r="110" spans="3:19" ht="15.75" thickBot="1" x14ac:dyDescent="0.3">
      <c r="C110" s="174" t="s">
        <v>16</v>
      </c>
      <c r="D110" s="175"/>
      <c r="E110" s="7" t="s">
        <v>84</v>
      </c>
      <c r="F110" s="7" t="s">
        <v>85</v>
      </c>
      <c r="G110" s="7" t="s">
        <v>86</v>
      </c>
      <c r="H110" s="7" t="s">
        <v>87</v>
      </c>
      <c r="I110" s="8" t="s">
        <v>233</v>
      </c>
      <c r="J110" s="43"/>
      <c r="K110" s="52"/>
      <c r="L110" s="176" t="s">
        <v>17</v>
      </c>
      <c r="M110" s="177"/>
      <c r="N110" s="42" t="s">
        <v>18</v>
      </c>
      <c r="O110" s="34" t="s">
        <v>19</v>
      </c>
      <c r="P110" s="42" t="s">
        <v>20</v>
      </c>
      <c r="Q110" s="34" t="s">
        <v>21</v>
      </c>
      <c r="R110" s="158" t="s">
        <v>22</v>
      </c>
      <c r="S110" s="159"/>
    </row>
    <row r="111" spans="3:19" ht="15.75" thickBot="1" x14ac:dyDescent="0.3">
      <c r="C111" s="166" t="s">
        <v>232</v>
      </c>
      <c r="D111" s="180"/>
      <c r="E111" s="10"/>
      <c r="F111" s="11"/>
      <c r="G111" s="11">
        <v>8</v>
      </c>
      <c r="H111" s="11">
        <v>5</v>
      </c>
      <c r="I111" s="12">
        <v>1</v>
      </c>
      <c r="L111" s="165" t="s">
        <v>215</v>
      </c>
      <c r="M111" s="145"/>
      <c r="N111" s="83" t="s">
        <v>232</v>
      </c>
      <c r="O111" s="83">
        <v>15.5</v>
      </c>
      <c r="P111" s="83">
        <f>360/O111</f>
        <v>23.225806451612904</v>
      </c>
      <c r="Q111" s="84">
        <f>P111*O111</f>
        <v>360</v>
      </c>
      <c r="R111" s="168">
        <f>SUM(Q111:Q112)</f>
        <v>370</v>
      </c>
      <c r="S111" s="169"/>
    </row>
    <row r="112" spans="3:19" ht="15.75" thickBot="1" x14ac:dyDescent="0.3">
      <c r="C112" s="183"/>
      <c r="D112" s="184"/>
      <c r="E112" s="10"/>
      <c r="F112" s="11"/>
      <c r="G112" s="11"/>
      <c r="H112" s="11"/>
      <c r="I112" s="12"/>
      <c r="L112" s="166" t="s">
        <v>196</v>
      </c>
      <c r="M112" s="167"/>
      <c r="N112" s="11" t="s">
        <v>154</v>
      </c>
      <c r="O112" s="11">
        <v>1</v>
      </c>
      <c r="P112" s="11">
        <v>10</v>
      </c>
      <c r="Q112" s="84">
        <f>P112*O112</f>
        <v>10</v>
      </c>
      <c r="R112" s="181"/>
      <c r="S112" s="182"/>
    </row>
    <row r="113" spans="3:19" x14ac:dyDescent="0.25">
      <c r="J113">
        <f>SUM(E111:I111)</f>
        <v>14</v>
      </c>
    </row>
    <row r="114" spans="3:19" ht="3" customHeight="1" x14ac:dyDescent="0.25">
      <c r="C114" s="20"/>
      <c r="D114" s="13"/>
      <c r="E114" s="13"/>
      <c r="F114" s="13"/>
      <c r="G114" s="13"/>
      <c r="H114" s="13"/>
      <c r="I114" s="13"/>
      <c r="J114" s="13"/>
      <c r="L114" s="13"/>
      <c r="M114" s="13"/>
      <c r="N114" s="13"/>
      <c r="O114" s="13"/>
      <c r="P114" s="13"/>
      <c r="Q114" s="13"/>
      <c r="R114" s="13"/>
      <c r="S114" s="21"/>
    </row>
    <row r="115" spans="3:19" ht="15.75" thickBot="1" x14ac:dyDescent="0.3"/>
    <row r="116" spans="3:19" ht="15.75" thickBot="1" x14ac:dyDescent="0.3">
      <c r="C116" s="2" t="s">
        <v>1</v>
      </c>
      <c r="D116" s="161" t="s">
        <v>8</v>
      </c>
      <c r="E116" s="162"/>
      <c r="F116" s="161" t="s">
        <v>9</v>
      </c>
      <c r="G116" s="163"/>
      <c r="H116" s="163"/>
      <c r="I116" s="163"/>
      <c r="J116" s="163"/>
      <c r="K116" s="163"/>
      <c r="L116" s="163"/>
      <c r="M116" s="162"/>
      <c r="N116" s="22" t="s">
        <v>10</v>
      </c>
      <c r="O116" s="161" t="s">
        <v>11</v>
      </c>
      <c r="P116" s="162"/>
      <c r="Q116" s="161" t="s">
        <v>12</v>
      </c>
      <c r="R116" s="163"/>
      <c r="S116" s="162"/>
    </row>
    <row r="117" spans="3:19" ht="15.75" thickBot="1" x14ac:dyDescent="0.3">
      <c r="C117" s="6">
        <v>110</v>
      </c>
      <c r="D117" s="164">
        <v>45674</v>
      </c>
      <c r="E117" s="154"/>
      <c r="F117" s="152" t="s">
        <v>151</v>
      </c>
      <c r="G117" s="153"/>
      <c r="H117" s="153"/>
      <c r="I117" s="153"/>
      <c r="J117" s="153"/>
      <c r="K117" s="153"/>
      <c r="L117" s="153"/>
      <c r="M117" s="154"/>
      <c r="N117" s="19">
        <v>1</v>
      </c>
      <c r="O117" s="77" t="s">
        <v>13</v>
      </c>
      <c r="P117" t="s">
        <v>14</v>
      </c>
      <c r="Q117" s="152" t="s">
        <v>243</v>
      </c>
      <c r="R117" s="153"/>
      <c r="S117" s="154"/>
    </row>
    <row r="118" spans="3:19" ht="15.75" thickBot="1" x14ac:dyDescent="0.3">
      <c r="C118" s="161" t="s">
        <v>15</v>
      </c>
      <c r="D118" s="163"/>
      <c r="E118" s="163"/>
      <c r="F118" s="163"/>
      <c r="G118" s="163"/>
      <c r="H118" s="163"/>
      <c r="I118" s="162"/>
      <c r="J118" s="50"/>
      <c r="K118" s="23"/>
      <c r="L118" s="161" t="s">
        <v>7</v>
      </c>
      <c r="M118" s="163"/>
      <c r="N118" s="163"/>
      <c r="O118" s="163"/>
      <c r="P118" s="163"/>
      <c r="Q118" s="163"/>
      <c r="R118" s="163"/>
      <c r="S118" s="162"/>
    </row>
    <row r="119" spans="3:19" ht="15.75" thickBot="1" x14ac:dyDescent="0.3">
      <c r="C119" s="174" t="s">
        <v>16</v>
      </c>
      <c r="D119" s="175"/>
      <c r="E119" s="7" t="s">
        <v>84</v>
      </c>
      <c r="F119" s="7" t="s">
        <v>85</v>
      </c>
      <c r="G119" s="7" t="s">
        <v>86</v>
      </c>
      <c r="H119" s="7" t="s">
        <v>87</v>
      </c>
      <c r="I119" s="8" t="s">
        <v>88</v>
      </c>
      <c r="J119" s="43"/>
      <c r="K119" s="52"/>
      <c r="L119" s="176" t="s">
        <v>17</v>
      </c>
      <c r="M119" s="177"/>
      <c r="N119" s="42" t="s">
        <v>18</v>
      </c>
      <c r="O119" s="34" t="s">
        <v>19</v>
      </c>
      <c r="P119" s="42" t="s">
        <v>20</v>
      </c>
      <c r="Q119" s="34" t="s">
        <v>21</v>
      </c>
      <c r="R119" s="158" t="s">
        <v>22</v>
      </c>
      <c r="S119" s="159"/>
    </row>
    <row r="120" spans="3:19" x14ac:dyDescent="0.25">
      <c r="C120" s="166" t="s">
        <v>216</v>
      </c>
      <c r="D120" s="180"/>
      <c r="E120" s="10"/>
      <c r="F120" s="11"/>
      <c r="G120" s="11"/>
      <c r="H120" s="11"/>
      <c r="I120" s="12"/>
      <c r="L120" s="165" t="s">
        <v>240</v>
      </c>
      <c r="M120" s="145"/>
      <c r="N120" s="83" t="s">
        <v>154</v>
      </c>
      <c r="O120" s="83">
        <v>24.5</v>
      </c>
      <c r="P120" s="83">
        <f>440/O120</f>
        <v>17.959183673469386</v>
      </c>
      <c r="Q120" s="84">
        <f>P120*O120</f>
        <v>439.99999999999994</v>
      </c>
      <c r="R120" s="168">
        <f>SUM(Q120:Q123)</f>
        <v>904.99999999999989</v>
      </c>
      <c r="S120" s="169"/>
    </row>
    <row r="121" spans="3:19" x14ac:dyDescent="0.25">
      <c r="C121" s="166"/>
      <c r="D121" s="180"/>
      <c r="E121" s="10"/>
      <c r="F121" s="11"/>
      <c r="G121" s="11"/>
      <c r="H121" s="11"/>
      <c r="I121" s="12"/>
      <c r="L121" s="166" t="s">
        <v>241</v>
      </c>
      <c r="M121" s="167"/>
      <c r="N121" s="11" t="s">
        <v>176</v>
      </c>
      <c r="O121" s="11">
        <v>100</v>
      </c>
      <c r="P121" s="11">
        <v>1.1599999999999999</v>
      </c>
      <c r="Q121" s="12">
        <f>P121*O121</f>
        <v>115.99999999999999</v>
      </c>
      <c r="R121" s="170"/>
      <c r="S121" s="171"/>
    </row>
    <row r="122" spans="3:19" x14ac:dyDescent="0.25">
      <c r="C122" s="166"/>
      <c r="D122" s="180"/>
      <c r="E122" s="10"/>
      <c r="F122" s="11"/>
      <c r="G122" s="11"/>
      <c r="H122" s="11"/>
      <c r="I122" s="12"/>
      <c r="L122" s="166" t="s">
        <v>242</v>
      </c>
      <c r="M122" s="167"/>
      <c r="N122" s="11" t="s">
        <v>154</v>
      </c>
      <c r="O122" s="11">
        <v>24</v>
      </c>
      <c r="P122" s="11">
        <f>47/12</f>
        <v>3.9166666666666665</v>
      </c>
      <c r="Q122" s="12">
        <f>P122*O122</f>
        <v>94</v>
      </c>
      <c r="R122" s="170"/>
      <c r="S122" s="171"/>
    </row>
    <row r="123" spans="3:19" ht="15.75" thickBot="1" x14ac:dyDescent="0.3">
      <c r="C123" s="183"/>
      <c r="D123" s="184"/>
      <c r="E123" s="10"/>
      <c r="F123" s="11"/>
      <c r="G123" s="11"/>
      <c r="H123" s="11"/>
      <c r="I123" s="12"/>
      <c r="L123" s="166" t="s">
        <v>196</v>
      </c>
      <c r="M123" s="167"/>
      <c r="N123" s="11" t="s">
        <v>154</v>
      </c>
      <c r="O123" s="11">
        <v>27</v>
      </c>
      <c r="P123" s="11">
        <f>255/O123</f>
        <v>9.4444444444444446</v>
      </c>
      <c r="Q123" s="12">
        <f>P123*O123</f>
        <v>255</v>
      </c>
      <c r="R123" s="181"/>
      <c r="S123" s="182"/>
    </row>
    <row r="124" spans="3:19" x14ac:dyDescent="0.25">
      <c r="J124">
        <f>SUM(E120:I122)</f>
        <v>0</v>
      </c>
    </row>
    <row r="125" spans="3:19" ht="3" customHeight="1" x14ac:dyDescent="0.25">
      <c r="C125" s="20"/>
      <c r="D125" s="13"/>
      <c r="E125" s="13"/>
      <c r="F125" s="13"/>
      <c r="G125" s="13"/>
      <c r="H125" s="13"/>
      <c r="I125" s="13"/>
      <c r="J125" s="13"/>
      <c r="L125" s="13"/>
      <c r="M125" s="13"/>
      <c r="N125" s="13"/>
      <c r="O125" s="13"/>
      <c r="P125" s="13"/>
      <c r="Q125" s="13"/>
      <c r="R125" s="13"/>
      <c r="S125" s="21"/>
    </row>
    <row r="126" spans="3:19" ht="15.75" thickBot="1" x14ac:dyDescent="0.3"/>
    <row r="127" spans="3:19" ht="15.75" thickBot="1" x14ac:dyDescent="0.3">
      <c r="C127" s="2" t="s">
        <v>1</v>
      </c>
      <c r="D127" s="161" t="s">
        <v>8</v>
      </c>
      <c r="E127" s="162"/>
      <c r="F127" s="161" t="s">
        <v>9</v>
      </c>
      <c r="G127" s="163"/>
      <c r="H127" s="163"/>
      <c r="I127" s="163"/>
      <c r="J127" s="163"/>
      <c r="K127" s="163"/>
      <c r="L127" s="163"/>
      <c r="M127" s="163"/>
      <c r="N127" s="162"/>
      <c r="O127" s="22" t="s">
        <v>10</v>
      </c>
      <c r="P127" s="161" t="s">
        <v>11</v>
      </c>
      <c r="Q127" s="162"/>
      <c r="R127" s="161" t="s">
        <v>12</v>
      </c>
      <c r="S127" s="162"/>
    </row>
    <row r="128" spans="3:19" ht="15.75" thickBot="1" x14ac:dyDescent="0.3">
      <c r="C128" s="6">
        <v>135</v>
      </c>
      <c r="D128" s="164">
        <v>45680</v>
      </c>
      <c r="E128" s="154"/>
      <c r="F128" s="152" t="s">
        <v>151</v>
      </c>
      <c r="G128" s="153"/>
      <c r="H128" s="153"/>
      <c r="I128" s="153"/>
      <c r="J128" s="153"/>
      <c r="K128" s="153"/>
      <c r="L128" s="153"/>
      <c r="M128" s="153"/>
      <c r="N128" s="154"/>
      <c r="O128" s="19">
        <v>1</v>
      </c>
      <c r="P128" s="49" t="s">
        <v>13</v>
      </c>
      <c r="Q128" t="s">
        <v>14</v>
      </c>
      <c r="R128" s="152" t="s">
        <v>231</v>
      </c>
      <c r="S128" s="154"/>
    </row>
    <row r="129" spans="3:19" ht="15.75" thickBot="1" x14ac:dyDescent="0.3">
      <c r="C129" s="161"/>
      <c r="D129" s="163"/>
      <c r="E129" s="162"/>
      <c r="F129" s="161" t="s">
        <v>130</v>
      </c>
      <c r="G129" s="163"/>
      <c r="H129" s="163"/>
      <c r="I129" s="163"/>
      <c r="J129" s="163"/>
      <c r="K129" s="163"/>
      <c r="L129" s="163"/>
      <c r="M129" s="163"/>
      <c r="N129" s="162"/>
      <c r="O129" s="22"/>
      <c r="P129" s="161"/>
      <c r="Q129" s="162"/>
      <c r="R129" s="161"/>
      <c r="S129" s="162"/>
    </row>
    <row r="130" spans="3:19" ht="15.75" thickBot="1" x14ac:dyDescent="0.3">
      <c r="C130" s="152"/>
      <c r="D130" s="153"/>
      <c r="E130" s="154"/>
      <c r="F130" s="152">
        <v>99</v>
      </c>
      <c r="G130" s="153"/>
      <c r="H130" s="153"/>
      <c r="I130" s="153"/>
      <c r="J130" s="153"/>
      <c r="K130" s="153"/>
      <c r="L130" s="153"/>
      <c r="M130" s="153"/>
      <c r="N130" s="154"/>
      <c r="O130" s="19"/>
      <c r="Q130" s="6"/>
      <c r="R130" s="152"/>
      <c r="S130" s="154"/>
    </row>
    <row r="131" spans="3:19" ht="15.75" thickBot="1" x14ac:dyDescent="0.3">
      <c r="D131" s="155" t="s">
        <v>17</v>
      </c>
      <c r="E131" s="156"/>
      <c r="F131" s="156"/>
      <c r="G131" s="157"/>
      <c r="H131" s="155" t="s">
        <v>18</v>
      </c>
      <c r="I131" s="156"/>
      <c r="J131" s="156"/>
      <c r="K131" s="156"/>
      <c r="L131" s="157"/>
      <c r="M131" s="156" t="s">
        <v>19</v>
      </c>
      <c r="N131" s="157"/>
      <c r="O131" s="44" t="s">
        <v>20</v>
      </c>
      <c r="P131" s="45" t="s">
        <v>21</v>
      </c>
      <c r="Q131" s="158" t="s">
        <v>22</v>
      </c>
      <c r="R131" s="159"/>
    </row>
    <row r="132" spans="3:19" ht="15.75" thickBot="1" x14ac:dyDescent="0.3">
      <c r="D132" s="155" t="s">
        <v>253</v>
      </c>
      <c r="E132" s="156"/>
      <c r="F132" s="156"/>
      <c r="G132" s="157"/>
      <c r="H132" s="155" t="s">
        <v>152</v>
      </c>
      <c r="I132" s="156"/>
      <c r="J132" s="156"/>
      <c r="K132" s="156"/>
      <c r="L132" s="157"/>
      <c r="M132" s="156">
        <v>12</v>
      </c>
      <c r="N132" s="157"/>
      <c r="O132" s="44">
        <f>47.5/12</f>
        <v>3.9583333333333335</v>
      </c>
      <c r="P132" s="45">
        <f>M132*O132</f>
        <v>47.5</v>
      </c>
      <c r="Q132" s="205">
        <f>SUM(P132:P132)</f>
        <v>47.5</v>
      </c>
      <c r="R132" s="206"/>
    </row>
    <row r="134" spans="3:19" ht="3" customHeight="1" x14ac:dyDescent="0.25">
      <c r="C134" s="20"/>
      <c r="D134" s="13"/>
      <c r="E134" s="13"/>
      <c r="F134" s="13"/>
      <c r="G134" s="13"/>
      <c r="H134" s="13"/>
      <c r="I134" s="13"/>
      <c r="J134" s="13"/>
      <c r="L134" s="13"/>
      <c r="M134" s="13"/>
      <c r="N134" s="13"/>
      <c r="O134" s="13"/>
      <c r="P134" s="13"/>
      <c r="Q134" s="13"/>
      <c r="R134" s="13"/>
      <c r="S134" s="21"/>
    </row>
    <row r="135" spans="3:19" ht="15.75" thickBot="1" x14ac:dyDescent="0.3"/>
    <row r="136" spans="3:19" ht="15.75" thickBot="1" x14ac:dyDescent="0.3">
      <c r="C136" s="2" t="s">
        <v>1</v>
      </c>
      <c r="D136" s="161" t="s">
        <v>8</v>
      </c>
      <c r="E136" s="162"/>
      <c r="F136" s="161" t="s">
        <v>9</v>
      </c>
      <c r="G136" s="163"/>
      <c r="H136" s="163"/>
      <c r="I136" s="163"/>
      <c r="J136" s="163"/>
      <c r="K136" s="163"/>
      <c r="L136" s="163"/>
      <c r="M136" s="163"/>
      <c r="N136" s="162"/>
      <c r="O136" s="22" t="s">
        <v>10</v>
      </c>
      <c r="P136" s="161" t="s">
        <v>11</v>
      </c>
      <c r="Q136" s="162"/>
      <c r="R136" s="161" t="s">
        <v>12</v>
      </c>
      <c r="S136" s="162"/>
    </row>
    <row r="137" spans="3:19" ht="15.75" thickBot="1" x14ac:dyDescent="0.3">
      <c r="C137" s="6">
        <v>148</v>
      </c>
      <c r="D137" s="164">
        <v>45683</v>
      </c>
      <c r="E137" s="154"/>
      <c r="F137" s="152"/>
      <c r="G137" s="153"/>
      <c r="H137" s="153"/>
      <c r="I137" s="153"/>
      <c r="J137" s="153"/>
      <c r="K137" s="153"/>
      <c r="L137" s="153"/>
      <c r="M137" s="153"/>
      <c r="N137" s="154"/>
      <c r="O137" s="19"/>
      <c r="P137" t="s">
        <v>13</v>
      </c>
      <c r="Q137" s="49" t="s">
        <v>14</v>
      </c>
      <c r="R137" s="152" t="s">
        <v>172</v>
      </c>
      <c r="S137" s="154"/>
    </row>
    <row r="138" spans="3:19" ht="15.75" thickBot="1" x14ac:dyDescent="0.3">
      <c r="C138" s="161"/>
      <c r="D138" s="163"/>
      <c r="E138" s="162"/>
      <c r="F138" s="161" t="s">
        <v>130</v>
      </c>
      <c r="G138" s="163"/>
      <c r="H138" s="163"/>
      <c r="I138" s="163"/>
      <c r="J138" s="163"/>
      <c r="K138" s="163"/>
      <c r="L138" s="163"/>
      <c r="M138" s="163"/>
      <c r="N138" s="162"/>
      <c r="O138" s="22"/>
      <c r="P138" s="161"/>
      <c r="Q138" s="162"/>
      <c r="R138" s="161"/>
      <c r="S138" s="162"/>
    </row>
    <row r="139" spans="3:19" ht="15.75" thickBot="1" x14ac:dyDescent="0.3">
      <c r="C139" s="152"/>
      <c r="D139" s="153"/>
      <c r="E139" s="154"/>
      <c r="F139" s="152"/>
      <c r="G139" s="153"/>
      <c r="H139" s="153"/>
      <c r="I139" s="153"/>
      <c r="J139" s="153"/>
      <c r="K139" s="153"/>
      <c r="L139" s="153"/>
      <c r="M139" s="153"/>
      <c r="N139" s="154"/>
      <c r="O139" s="19"/>
      <c r="Q139" s="6"/>
      <c r="R139" s="152"/>
      <c r="S139" s="154"/>
    </row>
    <row r="140" spans="3:19" ht="15.75" thickBot="1" x14ac:dyDescent="0.3">
      <c r="D140" s="155" t="s">
        <v>17</v>
      </c>
      <c r="E140" s="156"/>
      <c r="F140" s="156"/>
      <c r="G140" s="157"/>
      <c r="H140" s="155" t="s">
        <v>18</v>
      </c>
      <c r="I140" s="156"/>
      <c r="J140" s="156"/>
      <c r="K140" s="156"/>
      <c r="L140" s="157"/>
      <c r="M140" s="156" t="s">
        <v>19</v>
      </c>
      <c r="N140" s="157"/>
      <c r="O140" s="44" t="s">
        <v>20</v>
      </c>
      <c r="P140" s="45" t="s">
        <v>21</v>
      </c>
      <c r="Q140" s="158" t="s">
        <v>22</v>
      </c>
      <c r="R140" s="159"/>
    </row>
    <row r="141" spans="3:19" ht="15.75" thickBot="1" x14ac:dyDescent="0.3">
      <c r="D141" s="155" t="s">
        <v>257</v>
      </c>
      <c r="E141" s="156"/>
      <c r="F141" s="156"/>
      <c r="G141" s="157"/>
      <c r="H141" s="155" t="s">
        <v>258</v>
      </c>
      <c r="I141" s="156"/>
      <c r="J141" s="156"/>
      <c r="K141" s="156"/>
      <c r="L141" s="157"/>
      <c r="M141" s="156">
        <v>1</v>
      </c>
      <c r="N141" s="157"/>
      <c r="O141" s="44">
        <v>90</v>
      </c>
      <c r="P141" s="45">
        <f>M141*O141</f>
        <v>90</v>
      </c>
      <c r="Q141" s="205">
        <f>SUM(P141:P141)</f>
        <v>90</v>
      </c>
      <c r="R141" s="206"/>
    </row>
    <row r="143" spans="3:19" ht="3" customHeight="1" x14ac:dyDescent="0.25">
      <c r="C143" s="20"/>
      <c r="D143" s="13"/>
      <c r="E143" s="13"/>
      <c r="F143" s="13"/>
      <c r="G143" s="13"/>
      <c r="H143" s="13"/>
      <c r="I143" s="13"/>
      <c r="J143" s="13"/>
      <c r="L143" s="13"/>
      <c r="M143" s="13"/>
      <c r="N143" s="13"/>
      <c r="O143" s="13"/>
      <c r="P143" s="13"/>
      <c r="Q143" s="13"/>
      <c r="R143" s="13"/>
      <c r="S143" s="21"/>
    </row>
    <row r="144" spans="3:19" ht="15.75" thickBot="1" x14ac:dyDescent="0.3"/>
    <row r="145" spans="3:19" ht="15.75" thickBot="1" x14ac:dyDescent="0.3">
      <c r="C145" s="2" t="s">
        <v>1</v>
      </c>
      <c r="D145" s="161" t="s">
        <v>8</v>
      </c>
      <c r="E145" s="162"/>
      <c r="F145" s="161" t="s">
        <v>9</v>
      </c>
      <c r="G145" s="163"/>
      <c r="H145" s="163"/>
      <c r="I145" s="163"/>
      <c r="J145" s="163"/>
      <c r="K145" s="163"/>
      <c r="L145" s="163"/>
      <c r="M145" s="162"/>
      <c r="N145" s="22" t="s">
        <v>10</v>
      </c>
      <c r="O145" s="161" t="s">
        <v>11</v>
      </c>
      <c r="P145" s="162"/>
      <c r="Q145" s="161" t="s">
        <v>12</v>
      </c>
      <c r="R145" s="163"/>
      <c r="S145" s="162"/>
    </row>
    <row r="146" spans="3:19" ht="15.75" thickBot="1" x14ac:dyDescent="0.3">
      <c r="C146" s="6">
        <v>150</v>
      </c>
      <c r="D146" s="164">
        <v>45684</v>
      </c>
      <c r="E146" s="154"/>
      <c r="F146" s="152" t="s">
        <v>151</v>
      </c>
      <c r="G146" s="153"/>
      <c r="H146" s="153"/>
      <c r="I146" s="153"/>
      <c r="J146" s="153"/>
      <c r="K146" s="153"/>
      <c r="L146" s="153"/>
      <c r="M146" s="154"/>
      <c r="N146" s="19">
        <v>1</v>
      </c>
      <c r="O146" s="77" t="s">
        <v>13</v>
      </c>
      <c r="P146" t="s">
        <v>14</v>
      </c>
      <c r="Q146" s="152" t="s">
        <v>230</v>
      </c>
      <c r="R146" s="153"/>
      <c r="S146" s="154"/>
    </row>
    <row r="147" spans="3:19" ht="15.75" thickBot="1" x14ac:dyDescent="0.3">
      <c r="C147" s="161" t="s">
        <v>15</v>
      </c>
      <c r="D147" s="163"/>
      <c r="E147" s="163"/>
      <c r="F147" s="163"/>
      <c r="G147" s="163"/>
      <c r="H147" s="163"/>
      <c r="I147" s="162"/>
      <c r="J147" s="50"/>
      <c r="K147" s="23"/>
      <c r="L147" s="161" t="s">
        <v>7</v>
      </c>
      <c r="M147" s="163"/>
      <c r="N147" s="163"/>
      <c r="O147" s="163"/>
      <c r="P147" s="163"/>
      <c r="Q147" s="163"/>
      <c r="R147" s="163"/>
      <c r="S147" s="162"/>
    </row>
    <row r="148" spans="3:19" ht="15.75" thickBot="1" x14ac:dyDescent="0.3">
      <c r="C148" s="174" t="s">
        <v>16</v>
      </c>
      <c r="D148" s="175"/>
      <c r="E148" s="7" t="s">
        <v>84</v>
      </c>
      <c r="F148" s="7" t="s">
        <v>85</v>
      </c>
      <c r="G148" s="7" t="s">
        <v>86</v>
      </c>
      <c r="H148" s="7" t="s">
        <v>87</v>
      </c>
      <c r="I148" s="8" t="s">
        <v>88</v>
      </c>
      <c r="J148" s="43"/>
      <c r="K148" s="52"/>
      <c r="L148" s="176" t="s">
        <v>17</v>
      </c>
      <c r="M148" s="177"/>
      <c r="N148" s="42" t="s">
        <v>18</v>
      </c>
      <c r="O148" s="34" t="s">
        <v>19</v>
      </c>
      <c r="P148" s="42" t="s">
        <v>20</v>
      </c>
      <c r="Q148" s="34" t="s">
        <v>21</v>
      </c>
      <c r="R148" s="158" t="s">
        <v>22</v>
      </c>
      <c r="S148" s="159"/>
    </row>
    <row r="149" spans="3:19" ht="15.75" thickBot="1" x14ac:dyDescent="0.3">
      <c r="C149" s="166" t="s">
        <v>216</v>
      </c>
      <c r="D149" s="180"/>
      <c r="E149" s="10">
        <v>2</v>
      </c>
      <c r="F149" s="11">
        <v>26</v>
      </c>
      <c r="G149" s="11">
        <v>11</v>
      </c>
      <c r="H149" s="11">
        <v>2</v>
      </c>
      <c r="I149" s="12"/>
      <c r="L149" s="165" t="s">
        <v>260</v>
      </c>
      <c r="M149" s="145"/>
      <c r="N149" s="83" t="s">
        <v>152</v>
      </c>
      <c r="O149" s="83">
        <v>135</v>
      </c>
      <c r="P149" s="83">
        <f>2497/135</f>
        <v>18.496296296296297</v>
      </c>
      <c r="Q149" s="84">
        <f>P149*O149</f>
        <v>2497</v>
      </c>
      <c r="R149" s="168">
        <f>SUM(Q149:Q152)</f>
        <v>3818</v>
      </c>
      <c r="S149" s="169"/>
    </row>
    <row r="150" spans="3:19" ht="15.75" thickBot="1" x14ac:dyDescent="0.3">
      <c r="C150" s="166"/>
      <c r="D150" s="180"/>
      <c r="E150" s="10"/>
      <c r="F150" s="11"/>
      <c r="G150" s="11"/>
      <c r="H150" s="11"/>
      <c r="I150" s="12"/>
      <c r="L150" s="166" t="s">
        <v>228</v>
      </c>
      <c r="M150" s="167"/>
      <c r="N150" s="11" t="s">
        <v>152</v>
      </c>
      <c r="O150" s="11">
        <v>200</v>
      </c>
      <c r="P150" s="11">
        <v>4.2</v>
      </c>
      <c r="Q150" s="84">
        <f t="shared" ref="Q150:Q152" si="6">P150*O150</f>
        <v>840</v>
      </c>
      <c r="R150" s="170"/>
      <c r="S150" s="171"/>
    </row>
    <row r="151" spans="3:19" ht="15.75" thickBot="1" x14ac:dyDescent="0.3">
      <c r="C151" s="166"/>
      <c r="D151" s="180"/>
      <c r="E151" s="10"/>
      <c r="F151" s="11"/>
      <c r="G151" s="11"/>
      <c r="H151" s="11"/>
      <c r="I151" s="12"/>
      <c r="L151" s="166" t="s">
        <v>196</v>
      </c>
      <c r="M151" s="167"/>
      <c r="N151" s="11" t="s">
        <v>216</v>
      </c>
      <c r="O151" s="11">
        <v>4</v>
      </c>
      <c r="P151" s="11">
        <f>85</f>
        <v>85</v>
      </c>
      <c r="Q151" s="84">
        <f t="shared" si="6"/>
        <v>340</v>
      </c>
      <c r="R151" s="170"/>
      <c r="S151" s="171"/>
    </row>
    <row r="152" spans="3:19" ht="15.75" thickBot="1" x14ac:dyDescent="0.3">
      <c r="C152" s="183"/>
      <c r="D152" s="184"/>
      <c r="E152" s="10"/>
      <c r="F152" s="11"/>
      <c r="G152" s="11"/>
      <c r="H152" s="11"/>
      <c r="I152" s="12"/>
      <c r="L152" s="166" t="s">
        <v>242</v>
      </c>
      <c r="M152" s="167"/>
      <c r="N152" s="11" t="s">
        <v>216</v>
      </c>
      <c r="O152" s="11">
        <v>3</v>
      </c>
      <c r="P152" s="11">
        <v>47</v>
      </c>
      <c r="Q152" s="84">
        <f t="shared" si="6"/>
        <v>141</v>
      </c>
      <c r="R152" s="181"/>
      <c r="S152" s="182"/>
    </row>
    <row r="153" spans="3:19" x14ac:dyDescent="0.25">
      <c r="J153">
        <f>SUM(E149:I151)</f>
        <v>41</v>
      </c>
    </row>
    <row r="154" spans="3:19" ht="3" customHeight="1" x14ac:dyDescent="0.25">
      <c r="C154" s="20"/>
      <c r="D154" s="13"/>
      <c r="E154" s="13"/>
      <c r="F154" s="13"/>
      <c r="G154" s="13"/>
      <c r="H154" s="13"/>
      <c r="I154" s="13"/>
      <c r="J154" s="13"/>
      <c r="L154" s="13"/>
      <c r="M154" s="13"/>
      <c r="N154" s="13"/>
      <c r="O154" s="13"/>
      <c r="P154" s="13"/>
      <c r="Q154" s="13"/>
      <c r="R154" s="13"/>
      <c r="S154" s="21"/>
    </row>
    <row r="155" spans="3:19" ht="15.75" thickBot="1" x14ac:dyDescent="0.3"/>
    <row r="156" spans="3:19" ht="15.75" thickBot="1" x14ac:dyDescent="0.3">
      <c r="C156" s="2" t="s">
        <v>1</v>
      </c>
      <c r="D156" s="161" t="s">
        <v>8</v>
      </c>
      <c r="E156" s="162"/>
      <c r="F156" s="161" t="s">
        <v>9</v>
      </c>
      <c r="G156" s="163"/>
      <c r="H156" s="163"/>
      <c r="I156" s="163"/>
      <c r="J156" s="163"/>
      <c r="K156" s="163"/>
      <c r="L156" s="163"/>
      <c r="M156" s="163"/>
      <c r="N156" s="162"/>
      <c r="O156" s="22" t="s">
        <v>10</v>
      </c>
      <c r="P156" s="161" t="s">
        <v>11</v>
      </c>
      <c r="Q156" s="162"/>
      <c r="R156" s="161" t="s">
        <v>12</v>
      </c>
      <c r="S156" s="162"/>
    </row>
    <row r="157" spans="3:19" ht="15.75" thickBot="1" x14ac:dyDescent="0.3">
      <c r="C157" s="6">
        <v>165</v>
      </c>
      <c r="D157" s="164">
        <v>45687</v>
      </c>
      <c r="E157" s="154"/>
      <c r="F157" s="152"/>
      <c r="G157" s="153"/>
      <c r="H157" s="153"/>
      <c r="I157" s="153"/>
      <c r="J157" s="153"/>
      <c r="K157" s="153"/>
      <c r="L157" s="153"/>
      <c r="M157" s="153"/>
      <c r="N157" s="154"/>
      <c r="O157" s="19"/>
      <c r="P157" t="s">
        <v>13</v>
      </c>
      <c r="Q157" s="49" t="s">
        <v>14</v>
      </c>
      <c r="R157" s="152" t="s">
        <v>172</v>
      </c>
      <c r="S157" s="154"/>
    </row>
    <row r="158" spans="3:19" ht="15.75" thickBot="1" x14ac:dyDescent="0.3">
      <c r="C158" s="161"/>
      <c r="D158" s="163"/>
      <c r="E158" s="162"/>
      <c r="F158" s="161" t="s">
        <v>130</v>
      </c>
      <c r="G158" s="163"/>
      <c r="H158" s="163"/>
      <c r="I158" s="163"/>
      <c r="J158" s="163"/>
      <c r="K158" s="163"/>
      <c r="L158" s="163"/>
      <c r="M158" s="163"/>
      <c r="N158" s="162"/>
      <c r="O158" s="22"/>
      <c r="P158" s="161"/>
      <c r="Q158" s="162"/>
      <c r="R158" s="161"/>
      <c r="S158" s="162"/>
    </row>
    <row r="159" spans="3:19" ht="15.75" thickBot="1" x14ac:dyDescent="0.3">
      <c r="C159" s="152"/>
      <c r="D159" s="153"/>
      <c r="E159" s="154"/>
      <c r="F159" s="152"/>
      <c r="G159" s="153"/>
      <c r="H159" s="153"/>
      <c r="I159" s="153"/>
      <c r="J159" s="153"/>
      <c r="K159" s="153"/>
      <c r="L159" s="153"/>
      <c r="M159" s="153"/>
      <c r="N159" s="154"/>
      <c r="O159" s="19"/>
      <c r="Q159" s="6"/>
      <c r="R159" s="152"/>
      <c r="S159" s="154"/>
    </row>
    <row r="160" spans="3:19" ht="15.75" thickBot="1" x14ac:dyDescent="0.3">
      <c r="D160" s="155" t="s">
        <v>17</v>
      </c>
      <c r="E160" s="156"/>
      <c r="F160" s="156"/>
      <c r="G160" s="157"/>
      <c r="H160" s="155" t="s">
        <v>18</v>
      </c>
      <c r="I160" s="156"/>
      <c r="J160" s="156"/>
      <c r="K160" s="156"/>
      <c r="L160" s="157"/>
      <c r="M160" s="156" t="s">
        <v>19</v>
      </c>
      <c r="N160" s="157"/>
      <c r="O160" s="44" t="s">
        <v>20</v>
      </c>
      <c r="P160" s="45" t="s">
        <v>21</v>
      </c>
      <c r="Q160" s="158" t="s">
        <v>22</v>
      </c>
      <c r="R160" s="159"/>
    </row>
    <row r="161" spans="3:19" ht="15.75" thickBot="1" x14ac:dyDescent="0.3">
      <c r="D161" s="155" t="s">
        <v>268</v>
      </c>
      <c r="E161" s="156"/>
      <c r="F161" s="156"/>
      <c r="G161" s="157"/>
      <c r="H161" s="155" t="s">
        <v>269</v>
      </c>
      <c r="I161" s="156"/>
      <c r="J161" s="156"/>
      <c r="K161" s="156"/>
      <c r="L161" s="157"/>
      <c r="M161" s="156">
        <v>2</v>
      </c>
      <c r="N161" s="157"/>
      <c r="O161" s="44">
        <v>15</v>
      </c>
      <c r="P161" s="45">
        <f>O161*M161</f>
        <v>30</v>
      </c>
      <c r="Q161" s="185">
        <f>SUM(P161:P163)</f>
        <v>95</v>
      </c>
      <c r="R161" s="186"/>
    </row>
    <row r="162" spans="3:19" ht="15.75" thickBot="1" x14ac:dyDescent="0.3">
      <c r="D162" s="155" t="s">
        <v>270</v>
      </c>
      <c r="E162" s="156"/>
      <c r="F162" s="156"/>
      <c r="G162" s="157"/>
      <c r="H162" s="155" t="s">
        <v>271</v>
      </c>
      <c r="I162" s="156"/>
      <c r="J162" s="156"/>
      <c r="K162" s="156"/>
      <c r="L162" s="157"/>
      <c r="M162" s="156">
        <v>1</v>
      </c>
      <c r="N162" s="157"/>
      <c r="O162" s="44">
        <v>26</v>
      </c>
      <c r="P162" s="45">
        <v>25</v>
      </c>
      <c r="Q162" s="172"/>
      <c r="R162" s="173"/>
    </row>
    <row r="163" spans="3:19" ht="15.75" thickBot="1" x14ac:dyDescent="0.3">
      <c r="D163" s="155" t="s">
        <v>272</v>
      </c>
      <c r="E163" s="156"/>
      <c r="F163" s="156"/>
      <c r="G163" s="157"/>
      <c r="H163" s="155" t="s">
        <v>273</v>
      </c>
      <c r="I163" s="156"/>
      <c r="J163" s="156"/>
      <c r="K163" s="156"/>
      <c r="L163" s="157"/>
      <c r="M163" s="156">
        <v>1</v>
      </c>
      <c r="N163" s="157"/>
      <c r="O163" s="44">
        <v>40</v>
      </c>
      <c r="P163" s="45">
        <f t="shared" ref="P163" si="7">O163*M163</f>
        <v>40</v>
      </c>
      <c r="Q163" s="178"/>
      <c r="R163" s="179"/>
    </row>
    <row r="165" spans="3:19" ht="3" customHeight="1" x14ac:dyDescent="0.25">
      <c r="C165" s="20"/>
      <c r="D165" s="13"/>
      <c r="E165" s="13"/>
      <c r="F165" s="13"/>
      <c r="G165" s="13"/>
      <c r="H165" s="13"/>
      <c r="I165" s="13"/>
      <c r="J165" s="13"/>
      <c r="L165" s="13"/>
      <c r="M165" s="13"/>
      <c r="N165" s="13"/>
      <c r="O165" s="13"/>
      <c r="P165" s="13"/>
      <c r="Q165" s="13"/>
      <c r="R165" s="13"/>
      <c r="S165" s="21"/>
    </row>
    <row r="166" spans="3:19" ht="15.75" thickBot="1" x14ac:dyDescent="0.3"/>
    <row r="167" spans="3:19" ht="15.75" thickBot="1" x14ac:dyDescent="0.3">
      <c r="C167" s="2" t="s">
        <v>1</v>
      </c>
      <c r="D167" s="161" t="s">
        <v>8</v>
      </c>
      <c r="E167" s="162"/>
      <c r="F167" s="161" t="s">
        <v>9</v>
      </c>
      <c r="G167" s="163"/>
      <c r="H167" s="163"/>
      <c r="I167" s="163"/>
      <c r="J167" s="163"/>
      <c r="K167" s="163"/>
      <c r="L167" s="163"/>
      <c r="M167" s="162"/>
      <c r="N167" s="22" t="s">
        <v>10</v>
      </c>
      <c r="O167" s="161" t="s">
        <v>11</v>
      </c>
      <c r="P167" s="162"/>
      <c r="Q167" s="161" t="s">
        <v>12</v>
      </c>
      <c r="R167" s="163"/>
      <c r="S167" s="162"/>
    </row>
    <row r="168" spans="3:19" ht="15.75" thickBot="1" x14ac:dyDescent="0.3">
      <c r="C168" s="6">
        <v>167</v>
      </c>
      <c r="D168" s="164">
        <v>45687</v>
      </c>
      <c r="E168" s="154"/>
      <c r="F168" s="152" t="s">
        <v>274</v>
      </c>
      <c r="G168" s="153"/>
      <c r="H168" s="153"/>
      <c r="I168" s="153"/>
      <c r="J168" s="153"/>
      <c r="K168" s="153"/>
      <c r="L168" s="153"/>
      <c r="M168" s="154"/>
      <c r="N168" s="19">
        <v>1</v>
      </c>
      <c r="O168" s="77" t="s">
        <v>13</v>
      </c>
      <c r="P168" t="s">
        <v>14</v>
      </c>
      <c r="Q168" s="152" t="s">
        <v>275</v>
      </c>
      <c r="R168" s="153"/>
      <c r="S168" s="154"/>
    </row>
    <row r="169" spans="3:19" ht="15.75" thickBot="1" x14ac:dyDescent="0.3">
      <c r="C169" s="161" t="s">
        <v>15</v>
      </c>
      <c r="D169" s="163"/>
      <c r="E169" s="163"/>
      <c r="F169" s="163"/>
      <c r="G169" s="163"/>
      <c r="H169" s="163"/>
      <c r="I169" s="162"/>
      <c r="J169" s="50"/>
      <c r="K169" s="23"/>
      <c r="L169" s="161" t="s">
        <v>7</v>
      </c>
      <c r="M169" s="163"/>
      <c r="N169" s="163"/>
      <c r="O169" s="163"/>
      <c r="P169" s="163"/>
      <c r="Q169" s="163"/>
      <c r="R169" s="163"/>
      <c r="S169" s="162"/>
    </row>
    <row r="170" spans="3:19" ht="15.75" thickBot="1" x14ac:dyDescent="0.3">
      <c r="C170" s="174" t="s">
        <v>16</v>
      </c>
      <c r="D170" s="175"/>
      <c r="E170" s="7" t="s">
        <v>84</v>
      </c>
      <c r="F170" s="7" t="s">
        <v>85</v>
      </c>
      <c r="G170" s="7" t="s">
        <v>86</v>
      </c>
      <c r="H170" s="7" t="s">
        <v>87</v>
      </c>
      <c r="I170" s="8" t="s">
        <v>277</v>
      </c>
      <c r="J170" s="43"/>
      <c r="K170" s="52"/>
      <c r="L170" s="176" t="s">
        <v>17</v>
      </c>
      <c r="M170" s="177"/>
      <c r="N170" s="42" t="s">
        <v>18</v>
      </c>
      <c r="O170" s="34" t="s">
        <v>19</v>
      </c>
      <c r="P170" s="42" t="s">
        <v>20</v>
      </c>
      <c r="Q170" s="34" t="s">
        <v>21</v>
      </c>
      <c r="R170" s="158" t="s">
        <v>22</v>
      </c>
      <c r="S170" s="159"/>
    </row>
    <row r="171" spans="3:19" ht="15.75" thickBot="1" x14ac:dyDescent="0.3">
      <c r="C171" s="166" t="s">
        <v>216</v>
      </c>
      <c r="D171" s="180"/>
      <c r="E171" s="11"/>
      <c r="F171">
        <v>2</v>
      </c>
      <c r="G171" s="11">
        <v>4</v>
      </c>
      <c r="H171" s="11">
        <v>2</v>
      </c>
      <c r="I171" s="12"/>
      <c r="L171" s="165" t="s">
        <v>260</v>
      </c>
      <c r="M171" s="145"/>
      <c r="N171" s="83" t="s">
        <v>152</v>
      </c>
      <c r="O171" s="83">
        <v>6</v>
      </c>
      <c r="P171" s="83">
        <v>20</v>
      </c>
      <c r="Q171" s="84">
        <f>P171*O171</f>
        <v>120</v>
      </c>
      <c r="R171" s="168">
        <f>SUM(Q171:Q176)</f>
        <v>281.5</v>
      </c>
      <c r="S171" s="169"/>
    </row>
    <row r="172" spans="3:19" ht="15.75" thickBot="1" x14ac:dyDescent="0.3">
      <c r="C172" s="166" t="s">
        <v>276</v>
      </c>
      <c r="D172" s="180"/>
      <c r="E172" s="10"/>
      <c r="F172" s="11"/>
      <c r="G172" s="11"/>
      <c r="H172" s="11"/>
      <c r="I172" s="12">
        <v>1</v>
      </c>
      <c r="L172" s="166" t="s">
        <v>278</v>
      </c>
      <c r="M172" s="167"/>
      <c r="N172" s="11" t="s">
        <v>216</v>
      </c>
      <c r="O172" s="11">
        <v>12</v>
      </c>
      <c r="P172" s="11">
        <f>14/12</f>
        <v>1.1666666666666667</v>
      </c>
      <c r="Q172" s="84">
        <f t="shared" ref="Q172:Q176" si="8">P172*O172</f>
        <v>14</v>
      </c>
      <c r="R172" s="170"/>
      <c r="S172" s="171"/>
    </row>
    <row r="173" spans="3:19" ht="15.75" thickBot="1" x14ac:dyDescent="0.3">
      <c r="C173" s="166"/>
      <c r="D173" s="180"/>
      <c r="E173" s="10"/>
      <c r="F173" s="11"/>
      <c r="G173" s="11"/>
      <c r="H173" s="11"/>
      <c r="I173" s="12"/>
      <c r="L173" s="166" t="s">
        <v>279</v>
      </c>
      <c r="M173" s="167"/>
      <c r="N173" s="11" t="s">
        <v>216</v>
      </c>
      <c r="O173" s="11">
        <v>10</v>
      </c>
      <c r="P173" s="11">
        <v>1</v>
      </c>
      <c r="Q173" s="84">
        <f>P173*O173</f>
        <v>10</v>
      </c>
      <c r="R173" s="170"/>
      <c r="S173" s="171"/>
    </row>
    <row r="174" spans="3:19" ht="15.75" thickBot="1" x14ac:dyDescent="0.3">
      <c r="C174" s="166"/>
      <c r="D174" s="180"/>
      <c r="E174" s="10"/>
      <c r="F174" s="11"/>
      <c r="G174" s="11"/>
      <c r="H174" s="11"/>
      <c r="I174" s="12"/>
      <c r="L174" s="166" t="s">
        <v>280</v>
      </c>
      <c r="M174" s="167"/>
      <c r="N174" s="11" t="s">
        <v>216</v>
      </c>
      <c r="O174" s="11">
        <v>2</v>
      </c>
      <c r="P174" s="11">
        <v>1</v>
      </c>
      <c r="Q174" s="84">
        <f t="shared" ref="Q174:Q175" si="9">P174*O174</f>
        <v>2</v>
      </c>
      <c r="R174" s="170"/>
      <c r="S174" s="171"/>
    </row>
    <row r="175" spans="3:19" ht="15.75" thickBot="1" x14ac:dyDescent="0.3">
      <c r="C175" s="166"/>
      <c r="D175" s="180"/>
      <c r="E175" s="10"/>
      <c r="F175" s="11"/>
      <c r="G175" s="11"/>
      <c r="H175" s="11"/>
      <c r="I175" s="12"/>
      <c r="L175" s="166" t="s">
        <v>281</v>
      </c>
      <c r="M175" s="167"/>
      <c r="N175" s="11" t="s">
        <v>152</v>
      </c>
      <c r="O175" s="11">
        <v>100</v>
      </c>
      <c r="P175" s="11">
        <f>15/100</f>
        <v>0.15</v>
      </c>
      <c r="Q175" s="84">
        <f t="shared" si="9"/>
        <v>15</v>
      </c>
      <c r="R175" s="170"/>
      <c r="S175" s="171"/>
    </row>
    <row r="176" spans="3:19" ht="15.75" thickBot="1" x14ac:dyDescent="0.3">
      <c r="C176" s="183"/>
      <c r="D176" s="184"/>
      <c r="E176" s="10"/>
      <c r="F176" s="11"/>
      <c r="G176" s="11"/>
      <c r="H176" s="11"/>
      <c r="I176" s="12"/>
      <c r="L176" s="166" t="s">
        <v>282</v>
      </c>
      <c r="M176" s="167"/>
      <c r="N176" s="11" t="s">
        <v>216</v>
      </c>
      <c r="O176" s="11">
        <v>10.5</v>
      </c>
      <c r="P176" s="11">
        <f>120.5/O176</f>
        <v>11.476190476190476</v>
      </c>
      <c r="Q176" s="84">
        <f t="shared" si="8"/>
        <v>120.5</v>
      </c>
      <c r="R176" s="181"/>
      <c r="S176" s="182"/>
    </row>
    <row r="177" spans="3:19" x14ac:dyDescent="0.25">
      <c r="J177">
        <f>SUM(E171:I175)</f>
        <v>9</v>
      </c>
    </row>
    <row r="178" spans="3:19" ht="3" customHeight="1" x14ac:dyDescent="0.25">
      <c r="C178" s="20"/>
      <c r="D178" s="13"/>
      <c r="E178" s="13"/>
      <c r="F178" s="13"/>
      <c r="G178" s="13"/>
      <c r="H178" s="13"/>
      <c r="I178" s="13"/>
      <c r="J178" s="13"/>
      <c r="L178" s="13"/>
      <c r="M178" s="13"/>
      <c r="N178" s="13"/>
      <c r="O178" s="13"/>
      <c r="P178" s="13"/>
      <c r="Q178" s="13"/>
      <c r="R178" s="13"/>
      <c r="S178" s="21"/>
    </row>
    <row r="179" spans="3:19" ht="15.75" thickBot="1" x14ac:dyDescent="0.3"/>
    <row r="180" spans="3:19" ht="15.75" thickBot="1" x14ac:dyDescent="0.3">
      <c r="C180" s="2" t="s">
        <v>1</v>
      </c>
      <c r="D180" s="161" t="s">
        <v>8</v>
      </c>
      <c r="E180" s="162"/>
      <c r="F180" s="161" t="s">
        <v>9</v>
      </c>
      <c r="G180" s="163"/>
      <c r="H180" s="163"/>
      <c r="I180" s="163"/>
      <c r="J180" s="163"/>
      <c r="K180" s="163"/>
      <c r="L180" s="163"/>
      <c r="M180" s="163"/>
      <c r="N180" s="162"/>
      <c r="O180" s="22" t="s">
        <v>10</v>
      </c>
      <c r="P180" s="161" t="s">
        <v>11</v>
      </c>
      <c r="Q180" s="162"/>
      <c r="R180" s="161" t="s">
        <v>12</v>
      </c>
      <c r="S180" s="162"/>
    </row>
    <row r="181" spans="3:19" ht="15.75" thickBot="1" x14ac:dyDescent="0.3">
      <c r="C181" s="6">
        <v>186</v>
      </c>
      <c r="D181" s="164">
        <v>45691</v>
      </c>
      <c r="E181" s="154"/>
      <c r="F181" s="152" t="s">
        <v>274</v>
      </c>
      <c r="G181" s="153"/>
      <c r="H181" s="153"/>
      <c r="I181" s="153"/>
      <c r="J181" s="153"/>
      <c r="K181" s="153"/>
      <c r="L181" s="153"/>
      <c r="M181" s="153"/>
      <c r="N181" s="154"/>
      <c r="O181" s="19"/>
      <c r="P181" s="49" t="s">
        <v>13</v>
      </c>
      <c r="Q181" t="s">
        <v>14</v>
      </c>
      <c r="R181" s="152" t="s">
        <v>275</v>
      </c>
      <c r="S181" s="154"/>
    </row>
    <row r="182" spans="3:19" ht="15.75" thickBot="1" x14ac:dyDescent="0.3">
      <c r="C182" s="161"/>
      <c r="D182" s="163"/>
      <c r="E182" s="162"/>
      <c r="F182" s="161" t="s">
        <v>130</v>
      </c>
      <c r="G182" s="163"/>
      <c r="H182" s="163"/>
      <c r="I182" s="163"/>
      <c r="J182" s="163"/>
      <c r="K182" s="163"/>
      <c r="L182" s="163"/>
      <c r="M182" s="163"/>
      <c r="N182" s="162"/>
      <c r="O182" s="22"/>
      <c r="P182" s="161"/>
      <c r="Q182" s="162"/>
      <c r="R182" s="161"/>
      <c r="S182" s="162"/>
    </row>
    <row r="183" spans="3:19" ht="15.75" thickBot="1" x14ac:dyDescent="0.3">
      <c r="C183" s="152"/>
      <c r="D183" s="153"/>
      <c r="E183" s="154"/>
      <c r="F183" s="152">
        <v>167</v>
      </c>
      <c r="G183" s="153"/>
      <c r="H183" s="153"/>
      <c r="I183" s="153"/>
      <c r="J183" s="153"/>
      <c r="K183" s="153"/>
      <c r="L183" s="153"/>
      <c r="M183" s="153"/>
      <c r="N183" s="154"/>
      <c r="O183" s="19"/>
      <c r="Q183" s="6"/>
      <c r="R183" s="152"/>
      <c r="S183" s="154"/>
    </row>
    <row r="184" spans="3:19" ht="15.75" thickBot="1" x14ac:dyDescent="0.3">
      <c r="D184" s="155" t="s">
        <v>17</v>
      </c>
      <c r="E184" s="156"/>
      <c r="F184" s="156"/>
      <c r="G184" s="157"/>
      <c r="H184" s="155" t="s">
        <v>18</v>
      </c>
      <c r="I184" s="156"/>
      <c r="J184" s="156"/>
      <c r="K184" s="156"/>
      <c r="L184" s="157"/>
      <c r="M184" s="156" t="s">
        <v>19</v>
      </c>
      <c r="N184" s="157"/>
      <c r="O184" s="44" t="s">
        <v>20</v>
      </c>
      <c r="P184" s="45" t="s">
        <v>21</v>
      </c>
      <c r="Q184" s="158" t="s">
        <v>22</v>
      </c>
      <c r="R184" s="159"/>
    </row>
    <row r="185" spans="3:19" ht="15.75" thickBot="1" x14ac:dyDescent="0.3">
      <c r="D185" s="155" t="s">
        <v>299</v>
      </c>
      <c r="E185" s="156"/>
      <c r="F185" s="156"/>
      <c r="G185" s="157"/>
      <c r="H185" s="155" t="s">
        <v>152</v>
      </c>
      <c r="I185" s="156"/>
      <c r="J185" s="156"/>
      <c r="K185" s="156"/>
      <c r="L185" s="157"/>
      <c r="M185" s="156">
        <v>2</v>
      </c>
      <c r="N185" s="157"/>
      <c r="O185" s="44">
        <v>17.5</v>
      </c>
      <c r="P185" s="45">
        <f t="shared" ref="P185" si="10">O185*M185</f>
        <v>35</v>
      </c>
      <c r="Q185" s="178">
        <f>P185</f>
        <v>35</v>
      </c>
      <c r="R185" s="179"/>
    </row>
    <row r="187" spans="3:19" ht="3" customHeight="1" x14ac:dyDescent="0.25">
      <c r="C187" s="20"/>
      <c r="D187" s="13"/>
      <c r="E187" s="13"/>
      <c r="F187" s="13"/>
      <c r="G187" s="13"/>
      <c r="H187" s="13"/>
      <c r="I187" s="13"/>
      <c r="J187" s="13"/>
      <c r="L187" s="13"/>
      <c r="M187" s="13"/>
      <c r="N187" s="13"/>
      <c r="O187" s="13"/>
      <c r="P187" s="13"/>
      <c r="Q187" s="13"/>
      <c r="R187" s="13"/>
      <c r="S187" s="21"/>
    </row>
    <row r="188" spans="3:19" ht="15.75" thickBot="1" x14ac:dyDescent="0.3"/>
    <row r="189" spans="3:19" ht="15.75" thickBot="1" x14ac:dyDescent="0.3">
      <c r="C189" s="2" t="s">
        <v>1</v>
      </c>
      <c r="D189" s="161" t="s">
        <v>8</v>
      </c>
      <c r="E189" s="162"/>
      <c r="F189" s="161" t="s">
        <v>9</v>
      </c>
      <c r="G189" s="163"/>
      <c r="H189" s="163"/>
      <c r="I189" s="163"/>
      <c r="J189" s="163"/>
      <c r="K189" s="163"/>
      <c r="L189" s="163"/>
      <c r="M189" s="163"/>
      <c r="N189" s="162"/>
      <c r="O189" s="22" t="s">
        <v>10</v>
      </c>
      <c r="P189" s="161" t="s">
        <v>11</v>
      </c>
      <c r="Q189" s="162"/>
      <c r="R189" s="161" t="s">
        <v>12</v>
      </c>
      <c r="S189" s="162"/>
    </row>
    <row r="190" spans="3:19" ht="15.75" thickBot="1" x14ac:dyDescent="0.3">
      <c r="C190" s="6">
        <v>165</v>
      </c>
      <c r="D190" s="164">
        <v>45687</v>
      </c>
      <c r="E190" s="154"/>
      <c r="F190" s="152"/>
      <c r="G190" s="153"/>
      <c r="H190" s="153"/>
      <c r="I190" s="153"/>
      <c r="J190" s="153"/>
      <c r="K190" s="153"/>
      <c r="L190" s="153"/>
      <c r="M190" s="153"/>
      <c r="N190" s="154"/>
      <c r="O190" s="19"/>
      <c r="P190" t="s">
        <v>13</v>
      </c>
      <c r="Q190" s="49" t="s">
        <v>14</v>
      </c>
      <c r="R190" s="152" t="s">
        <v>172</v>
      </c>
      <c r="S190" s="154"/>
    </row>
    <row r="191" spans="3:19" ht="15.75" thickBot="1" x14ac:dyDescent="0.3">
      <c r="C191" s="161"/>
      <c r="D191" s="163"/>
      <c r="E191" s="162"/>
      <c r="F191" s="161" t="s">
        <v>130</v>
      </c>
      <c r="G191" s="163"/>
      <c r="H191" s="163"/>
      <c r="I191" s="163"/>
      <c r="J191" s="163"/>
      <c r="K191" s="163"/>
      <c r="L191" s="163"/>
      <c r="M191" s="163"/>
      <c r="N191" s="162"/>
      <c r="O191" s="22"/>
      <c r="P191" s="161"/>
      <c r="Q191" s="162"/>
      <c r="R191" s="161"/>
      <c r="S191" s="162"/>
    </row>
    <row r="192" spans="3:19" ht="15.75" thickBot="1" x14ac:dyDescent="0.3">
      <c r="C192" s="152"/>
      <c r="D192" s="153"/>
      <c r="E192" s="154"/>
      <c r="F192" s="152"/>
      <c r="G192" s="153"/>
      <c r="H192" s="153"/>
      <c r="I192" s="153"/>
      <c r="J192" s="153"/>
      <c r="K192" s="153"/>
      <c r="L192" s="153"/>
      <c r="M192" s="153"/>
      <c r="N192" s="154"/>
      <c r="O192" s="19"/>
      <c r="Q192" s="6"/>
      <c r="R192" s="152"/>
      <c r="S192" s="154"/>
    </row>
    <row r="193" spans="3:19" ht="15.75" thickBot="1" x14ac:dyDescent="0.3">
      <c r="D193" s="155" t="s">
        <v>17</v>
      </c>
      <c r="E193" s="156"/>
      <c r="F193" s="156"/>
      <c r="G193" s="157"/>
      <c r="H193" s="155" t="s">
        <v>18</v>
      </c>
      <c r="I193" s="156"/>
      <c r="J193" s="156"/>
      <c r="K193" s="156"/>
      <c r="L193" s="157"/>
      <c r="M193" s="156" t="s">
        <v>19</v>
      </c>
      <c r="N193" s="157"/>
      <c r="O193" s="44" t="s">
        <v>20</v>
      </c>
      <c r="P193" s="45" t="s">
        <v>21</v>
      </c>
      <c r="Q193" s="158" t="s">
        <v>22</v>
      </c>
      <c r="R193" s="159"/>
    </row>
    <row r="194" spans="3:19" ht="15.75" thickBot="1" x14ac:dyDescent="0.3">
      <c r="D194" s="155" t="s">
        <v>313</v>
      </c>
      <c r="E194" s="156"/>
      <c r="F194" s="156"/>
      <c r="G194" s="157"/>
      <c r="H194" s="155" t="s">
        <v>314</v>
      </c>
      <c r="I194" s="156"/>
      <c r="J194" s="156"/>
      <c r="K194" s="156"/>
      <c r="L194" s="157"/>
      <c r="M194" s="156">
        <v>6</v>
      </c>
      <c r="N194" s="157"/>
      <c r="O194" s="44">
        <f>20/M194</f>
        <v>3.3333333333333335</v>
      </c>
      <c r="P194" s="45">
        <f>O194*M194</f>
        <v>20</v>
      </c>
      <c r="Q194" s="185">
        <f>SUM(P194:P196)</f>
        <v>70</v>
      </c>
      <c r="R194" s="186"/>
    </row>
    <row r="195" spans="3:19" ht="15.75" thickBot="1" x14ac:dyDescent="0.3">
      <c r="D195" s="155" t="s">
        <v>313</v>
      </c>
      <c r="E195" s="156"/>
      <c r="F195" s="156"/>
      <c r="G195" s="157"/>
      <c r="H195" s="155" t="s">
        <v>315</v>
      </c>
      <c r="I195" s="156"/>
      <c r="J195" s="156"/>
      <c r="K195" s="156"/>
      <c r="L195" s="157"/>
      <c r="M195" s="156">
        <v>6</v>
      </c>
      <c r="N195" s="157"/>
      <c r="O195" s="44">
        <f>40/M195</f>
        <v>6.666666666666667</v>
      </c>
      <c r="P195" s="45">
        <f>O195*M195</f>
        <v>40</v>
      </c>
      <c r="Q195" s="172"/>
      <c r="R195" s="173"/>
    </row>
    <row r="196" spans="3:19" ht="15.75" thickBot="1" x14ac:dyDescent="0.3">
      <c r="D196" s="155" t="s">
        <v>316</v>
      </c>
      <c r="E196" s="156"/>
      <c r="F196" s="156"/>
      <c r="G196" s="157"/>
      <c r="H196" s="155" t="s">
        <v>317</v>
      </c>
      <c r="I196" s="156"/>
      <c r="J196" s="156"/>
      <c r="K196" s="156"/>
      <c r="L196" s="157"/>
      <c r="M196" s="156">
        <v>1</v>
      </c>
      <c r="N196" s="157"/>
      <c r="O196" s="44">
        <v>10</v>
      </c>
      <c r="P196" s="45">
        <f t="shared" ref="P196" si="11">O196*M196</f>
        <v>10</v>
      </c>
      <c r="Q196" s="178"/>
      <c r="R196" s="179"/>
    </row>
    <row r="198" spans="3:19" ht="3" customHeight="1" x14ac:dyDescent="0.25">
      <c r="C198" s="20"/>
      <c r="D198" s="13"/>
      <c r="E198" s="13"/>
      <c r="F198" s="13"/>
      <c r="G198" s="13"/>
      <c r="H198" s="13"/>
      <c r="I198" s="13"/>
      <c r="J198" s="13"/>
      <c r="L198" s="13"/>
      <c r="M198" s="13"/>
      <c r="N198" s="13"/>
      <c r="O198" s="13"/>
      <c r="P198" s="13"/>
      <c r="Q198" s="13"/>
      <c r="R198" s="13"/>
      <c r="S198" s="21"/>
    </row>
    <row r="199" spans="3:19" ht="15.75" thickBot="1" x14ac:dyDescent="0.3"/>
    <row r="200" spans="3:19" ht="15.75" thickBot="1" x14ac:dyDescent="0.3">
      <c r="C200" s="2" t="s">
        <v>1</v>
      </c>
      <c r="D200" s="161" t="s">
        <v>8</v>
      </c>
      <c r="E200" s="162"/>
      <c r="F200" s="161" t="s">
        <v>9</v>
      </c>
      <c r="G200" s="163"/>
      <c r="H200" s="163"/>
      <c r="I200" s="163"/>
      <c r="J200" s="163"/>
      <c r="K200" s="163"/>
      <c r="L200" s="163"/>
      <c r="M200" s="162"/>
      <c r="N200" s="22" t="s">
        <v>10</v>
      </c>
      <c r="O200" s="161" t="s">
        <v>11</v>
      </c>
      <c r="P200" s="162"/>
      <c r="Q200" s="161" t="s">
        <v>12</v>
      </c>
      <c r="R200" s="163"/>
      <c r="S200" s="162"/>
    </row>
    <row r="201" spans="3:19" ht="15.75" thickBot="1" x14ac:dyDescent="0.3">
      <c r="C201" s="6">
        <v>278</v>
      </c>
      <c r="D201" s="164">
        <v>45702</v>
      </c>
      <c r="E201" s="154"/>
      <c r="F201" s="152" t="s">
        <v>151</v>
      </c>
      <c r="G201" s="153"/>
      <c r="H201" s="153"/>
      <c r="I201" s="153"/>
      <c r="J201" s="153"/>
      <c r="K201" s="153"/>
      <c r="L201" s="153"/>
      <c r="M201" s="154"/>
      <c r="N201" s="19">
        <v>1</v>
      </c>
      <c r="O201" s="77" t="s">
        <v>13</v>
      </c>
      <c r="P201" t="s">
        <v>14</v>
      </c>
      <c r="Q201" s="152" t="s">
        <v>159</v>
      </c>
      <c r="R201" s="153"/>
      <c r="S201" s="154"/>
    </row>
    <row r="202" spans="3:19" ht="15.75" thickBot="1" x14ac:dyDescent="0.3">
      <c r="C202" s="161" t="s">
        <v>15</v>
      </c>
      <c r="D202" s="163"/>
      <c r="E202" s="163"/>
      <c r="F202" s="163"/>
      <c r="G202" s="163"/>
      <c r="H202" s="163"/>
      <c r="I202" s="162"/>
      <c r="J202" s="50"/>
      <c r="K202" s="23"/>
      <c r="L202" s="161" t="s">
        <v>7</v>
      </c>
      <c r="M202" s="163"/>
      <c r="N202" s="163"/>
      <c r="O202" s="163"/>
      <c r="P202" s="163"/>
      <c r="Q202" s="163"/>
      <c r="R202" s="163"/>
      <c r="S202" s="162"/>
    </row>
    <row r="203" spans="3:19" ht="15.75" thickBot="1" x14ac:dyDescent="0.3">
      <c r="C203" s="174" t="s">
        <v>16</v>
      </c>
      <c r="D203" s="175"/>
      <c r="E203" s="7" t="s">
        <v>84</v>
      </c>
      <c r="F203" s="7" t="s">
        <v>85</v>
      </c>
      <c r="G203" s="7" t="s">
        <v>86</v>
      </c>
      <c r="H203" s="7" t="s">
        <v>87</v>
      </c>
      <c r="I203" s="8" t="s">
        <v>88</v>
      </c>
      <c r="J203" s="43"/>
      <c r="K203" s="52"/>
      <c r="L203" s="176" t="s">
        <v>17</v>
      </c>
      <c r="M203" s="177"/>
      <c r="N203" s="42" t="s">
        <v>18</v>
      </c>
      <c r="O203" s="34" t="s">
        <v>19</v>
      </c>
      <c r="P203" s="42" t="s">
        <v>20</v>
      </c>
      <c r="Q203" s="34" t="s">
        <v>21</v>
      </c>
      <c r="R203" s="158" t="s">
        <v>22</v>
      </c>
      <c r="S203" s="159"/>
    </row>
    <row r="204" spans="3:19" ht="15.75" thickBot="1" x14ac:dyDescent="0.3">
      <c r="C204" s="166" t="s">
        <v>152</v>
      </c>
      <c r="D204" s="180"/>
      <c r="E204" s="11"/>
      <c r="F204">
        <v>3</v>
      </c>
      <c r="G204" s="11">
        <v>4</v>
      </c>
      <c r="H204" s="11">
        <v>5</v>
      </c>
      <c r="I204" s="12">
        <v>5</v>
      </c>
      <c r="L204" s="165" t="s">
        <v>215</v>
      </c>
      <c r="M204" s="145"/>
      <c r="N204" s="83" t="s">
        <v>330</v>
      </c>
      <c r="O204" s="83">
        <v>11</v>
      </c>
      <c r="P204" s="83">
        <f>254/O204</f>
        <v>23.09090909090909</v>
      </c>
      <c r="Q204" s="84">
        <f>P204*O204</f>
        <v>254</v>
      </c>
      <c r="R204" s="168">
        <f>SUM(Q204:Q206)</f>
        <v>492</v>
      </c>
      <c r="S204" s="169"/>
    </row>
    <row r="205" spans="3:19" ht="15.75" thickBot="1" x14ac:dyDescent="0.3">
      <c r="C205" s="166" t="s">
        <v>216</v>
      </c>
      <c r="D205" s="180"/>
      <c r="E205" s="10"/>
      <c r="F205" s="11"/>
      <c r="G205" s="11">
        <v>3</v>
      </c>
      <c r="H205" s="11">
        <v>2</v>
      </c>
      <c r="I205" s="12">
        <v>4</v>
      </c>
      <c r="L205" s="166" t="s">
        <v>331</v>
      </c>
      <c r="M205" s="167"/>
      <c r="N205" s="11" t="s">
        <v>152</v>
      </c>
      <c r="O205" s="11">
        <v>14</v>
      </c>
      <c r="P205" s="11">
        <v>17</v>
      </c>
      <c r="Q205" s="84">
        <f>P205*O205</f>
        <v>238</v>
      </c>
      <c r="R205" s="170"/>
      <c r="S205" s="171"/>
    </row>
    <row r="206" spans="3:19" x14ac:dyDescent="0.25">
      <c r="C206" s="166" t="s">
        <v>173</v>
      </c>
      <c r="D206" s="180"/>
      <c r="E206" s="10"/>
      <c r="F206" s="11"/>
      <c r="G206" s="11">
        <v>2</v>
      </c>
      <c r="H206" s="11">
        <v>3</v>
      </c>
      <c r="I206" s="12">
        <v>3</v>
      </c>
      <c r="L206" s="166"/>
      <c r="M206" s="167"/>
      <c r="N206" s="11"/>
      <c r="O206" s="11"/>
      <c r="P206" s="11"/>
      <c r="Q206" s="84"/>
      <c r="R206" s="170"/>
      <c r="S206" s="171"/>
    </row>
    <row r="207" spans="3:19" x14ac:dyDescent="0.25">
      <c r="J207">
        <f>SUM(E204:I206)</f>
        <v>34</v>
      </c>
    </row>
    <row r="208" spans="3:19" ht="3" customHeight="1" x14ac:dyDescent="0.25">
      <c r="C208" s="20"/>
      <c r="D208" s="13"/>
      <c r="E208" s="13"/>
      <c r="F208" s="13"/>
      <c r="G208" s="13"/>
      <c r="H208" s="13"/>
      <c r="I208" s="13"/>
      <c r="J208" s="13"/>
      <c r="L208" s="13"/>
      <c r="M208" s="13"/>
      <c r="N208" s="13"/>
      <c r="O208" s="13"/>
      <c r="P208" s="13"/>
      <c r="Q208" s="13"/>
      <c r="R208" s="13"/>
      <c r="S208" s="21"/>
    </row>
    <row r="209" spans="3:19" ht="15.75" thickBot="1" x14ac:dyDescent="0.3"/>
    <row r="210" spans="3:19" ht="15.75" thickBot="1" x14ac:dyDescent="0.3">
      <c r="C210" s="2" t="s">
        <v>1</v>
      </c>
      <c r="D210" s="161" t="s">
        <v>8</v>
      </c>
      <c r="E210" s="162"/>
      <c r="F210" s="161" t="s">
        <v>9</v>
      </c>
      <c r="G210" s="163"/>
      <c r="H210" s="163"/>
      <c r="I210" s="163"/>
      <c r="J210" s="163"/>
      <c r="K210" s="163"/>
      <c r="L210" s="163"/>
      <c r="M210" s="163"/>
      <c r="N210" s="162"/>
      <c r="O210" s="22" t="s">
        <v>10</v>
      </c>
      <c r="P210" s="161" t="s">
        <v>11</v>
      </c>
      <c r="Q210" s="162"/>
      <c r="R210" s="161" t="s">
        <v>12</v>
      </c>
      <c r="S210" s="162"/>
    </row>
    <row r="211" spans="3:19" ht="15.75" thickBot="1" x14ac:dyDescent="0.3">
      <c r="C211" s="6">
        <v>287</v>
      </c>
      <c r="D211" s="164">
        <v>45705</v>
      </c>
      <c r="E211" s="154"/>
      <c r="F211" s="152" t="s">
        <v>151</v>
      </c>
      <c r="G211" s="153"/>
      <c r="H211" s="153"/>
      <c r="I211" s="153"/>
      <c r="J211" s="153"/>
      <c r="K211" s="153"/>
      <c r="L211" s="153"/>
      <c r="M211" s="153"/>
      <c r="N211" s="154"/>
      <c r="O211" s="19">
        <v>1</v>
      </c>
      <c r="P211" s="49" t="s">
        <v>13</v>
      </c>
      <c r="Q211" t="s">
        <v>14</v>
      </c>
      <c r="R211" s="152" t="s">
        <v>159</v>
      </c>
      <c r="S211" s="154"/>
    </row>
    <row r="212" spans="3:19" ht="15.75" thickBot="1" x14ac:dyDescent="0.3">
      <c r="C212" s="161"/>
      <c r="D212" s="163"/>
      <c r="E212" s="162"/>
      <c r="F212" s="161" t="s">
        <v>130</v>
      </c>
      <c r="G212" s="163"/>
      <c r="H212" s="163"/>
      <c r="I212" s="163"/>
      <c r="J212" s="163"/>
      <c r="K212" s="163"/>
      <c r="L212" s="163"/>
      <c r="M212" s="163"/>
      <c r="N212" s="162"/>
      <c r="O212" s="22"/>
      <c r="P212" s="161"/>
      <c r="Q212" s="162"/>
      <c r="R212" s="161"/>
      <c r="S212" s="162"/>
    </row>
    <row r="213" spans="3:19" ht="15.75" thickBot="1" x14ac:dyDescent="0.3">
      <c r="C213" s="152"/>
      <c r="D213" s="153"/>
      <c r="E213" s="154"/>
      <c r="F213" s="152"/>
      <c r="G213" s="153"/>
      <c r="H213" s="153"/>
      <c r="I213" s="153"/>
      <c r="J213" s="153"/>
      <c r="K213" s="153"/>
      <c r="L213" s="153"/>
      <c r="M213" s="153"/>
      <c r="N213" s="154"/>
      <c r="O213" s="19"/>
      <c r="Q213" s="6"/>
      <c r="R213" s="152"/>
      <c r="S213" s="154"/>
    </row>
    <row r="214" spans="3:19" ht="15.75" thickBot="1" x14ac:dyDescent="0.3">
      <c r="D214" s="155" t="s">
        <v>17</v>
      </c>
      <c r="E214" s="156"/>
      <c r="F214" s="156"/>
      <c r="G214" s="157"/>
      <c r="H214" s="155" t="s">
        <v>18</v>
      </c>
      <c r="I214" s="156"/>
      <c r="J214" s="156"/>
      <c r="K214" s="156"/>
      <c r="L214" s="157"/>
      <c r="M214" s="156" t="s">
        <v>19</v>
      </c>
      <c r="N214" s="157"/>
      <c r="O214" s="44" t="s">
        <v>20</v>
      </c>
      <c r="P214" s="45" t="s">
        <v>21</v>
      </c>
      <c r="Q214" s="158" t="s">
        <v>22</v>
      </c>
      <c r="R214" s="159"/>
    </row>
    <row r="215" spans="3:19" ht="15.75" thickBot="1" x14ac:dyDescent="0.3">
      <c r="D215" s="155" t="s">
        <v>334</v>
      </c>
      <c r="E215" s="156"/>
      <c r="F215" s="156"/>
      <c r="G215" s="157"/>
      <c r="H215" s="155" t="s">
        <v>152</v>
      </c>
      <c r="I215" s="156"/>
      <c r="J215" s="156"/>
      <c r="K215" s="156"/>
      <c r="L215" s="157"/>
      <c r="M215" s="156">
        <v>36</v>
      </c>
      <c r="N215" s="157"/>
      <c r="O215" s="44">
        <f>16/12</f>
        <v>1.3333333333333333</v>
      </c>
      <c r="P215" s="45">
        <f>O215*M215</f>
        <v>48</v>
      </c>
      <c r="Q215" s="172">
        <f>SUM(P215:P216)</f>
        <v>111</v>
      </c>
      <c r="R215" s="173"/>
    </row>
    <row r="216" spans="3:19" ht="15.75" thickBot="1" x14ac:dyDescent="0.3">
      <c r="D216" s="155" t="s">
        <v>335</v>
      </c>
      <c r="E216" s="156"/>
      <c r="F216" s="156"/>
      <c r="G216" s="157"/>
      <c r="H216" s="155" t="s">
        <v>152</v>
      </c>
      <c r="I216" s="156"/>
      <c r="J216" s="156"/>
      <c r="K216" s="156"/>
      <c r="L216" s="157"/>
      <c r="M216" s="156">
        <v>120</v>
      </c>
      <c r="N216" s="157"/>
      <c r="O216" s="44">
        <f>63/120</f>
        <v>0.52500000000000002</v>
      </c>
      <c r="P216" s="45">
        <f t="shared" ref="P216" si="12">O216*M216</f>
        <v>63</v>
      </c>
      <c r="Q216" s="178"/>
      <c r="R216" s="179"/>
    </row>
    <row r="218" spans="3:19" ht="3" customHeight="1" x14ac:dyDescent="0.25">
      <c r="C218" s="20"/>
      <c r="D218" s="13"/>
      <c r="E218" s="13"/>
      <c r="F218" s="13"/>
      <c r="G218" s="13"/>
      <c r="H218" s="13"/>
      <c r="I218" s="13"/>
      <c r="J218" s="13"/>
      <c r="L218" s="13"/>
      <c r="M218" s="13"/>
      <c r="N218" s="13"/>
      <c r="O218" s="13"/>
      <c r="P218" s="13"/>
      <c r="Q218" s="13"/>
      <c r="R218" s="13"/>
      <c r="S218" s="21"/>
    </row>
    <row r="219" spans="3:19" ht="15.75" thickBot="1" x14ac:dyDescent="0.3"/>
    <row r="220" spans="3:19" ht="15.75" thickBot="1" x14ac:dyDescent="0.3">
      <c r="C220" s="2" t="s">
        <v>1</v>
      </c>
      <c r="D220" s="161" t="s">
        <v>8</v>
      </c>
      <c r="E220" s="162"/>
      <c r="F220" s="161" t="s">
        <v>9</v>
      </c>
      <c r="G220" s="163"/>
      <c r="H220" s="163"/>
      <c r="I220" s="163"/>
      <c r="J220" s="163"/>
      <c r="K220" s="163"/>
      <c r="L220" s="163"/>
      <c r="M220" s="163"/>
      <c r="N220" s="162"/>
      <c r="O220" s="22" t="s">
        <v>10</v>
      </c>
      <c r="P220" s="161" t="s">
        <v>11</v>
      </c>
      <c r="Q220" s="162"/>
      <c r="R220" s="161" t="s">
        <v>12</v>
      </c>
      <c r="S220" s="162"/>
    </row>
    <row r="221" spans="3:19" ht="15.75" thickBot="1" x14ac:dyDescent="0.3">
      <c r="C221" s="6">
        <v>309</v>
      </c>
      <c r="D221" s="164">
        <v>45709</v>
      </c>
      <c r="E221" s="154"/>
      <c r="F221" s="152" t="s">
        <v>340</v>
      </c>
      <c r="G221" s="153"/>
      <c r="H221" s="153"/>
      <c r="I221" s="153"/>
      <c r="J221" s="153"/>
      <c r="K221" s="153"/>
      <c r="L221" s="153"/>
      <c r="M221" s="153"/>
      <c r="N221" s="154"/>
      <c r="O221" s="19"/>
      <c r="P221" t="s">
        <v>13</v>
      </c>
      <c r="Q221" s="49" t="s">
        <v>14</v>
      </c>
      <c r="R221" s="152" t="s">
        <v>172</v>
      </c>
      <c r="S221" s="154"/>
    </row>
    <row r="222" spans="3:19" ht="15.75" thickBot="1" x14ac:dyDescent="0.3">
      <c r="C222" s="161"/>
      <c r="D222" s="163"/>
      <c r="E222" s="162"/>
      <c r="F222" s="161" t="s">
        <v>130</v>
      </c>
      <c r="G222" s="163"/>
      <c r="H222" s="163"/>
      <c r="I222" s="163"/>
      <c r="J222" s="163"/>
      <c r="K222" s="163"/>
      <c r="L222" s="163"/>
      <c r="M222" s="163"/>
      <c r="N222" s="162"/>
      <c r="O222" s="22"/>
      <c r="P222" s="161"/>
      <c r="Q222" s="162"/>
      <c r="R222" s="161"/>
      <c r="S222" s="162"/>
    </row>
    <row r="223" spans="3:19" ht="15.75" thickBot="1" x14ac:dyDescent="0.3">
      <c r="C223" s="152"/>
      <c r="D223" s="153"/>
      <c r="E223" s="154"/>
      <c r="F223" s="152"/>
      <c r="G223" s="153"/>
      <c r="H223" s="153"/>
      <c r="I223" s="153"/>
      <c r="J223" s="153"/>
      <c r="K223" s="153"/>
      <c r="L223" s="153"/>
      <c r="M223" s="153"/>
      <c r="N223" s="154"/>
      <c r="O223" s="19"/>
      <c r="Q223" s="6"/>
      <c r="R223" s="152"/>
      <c r="S223" s="154"/>
    </row>
    <row r="224" spans="3:19" ht="15.75" thickBot="1" x14ac:dyDescent="0.3">
      <c r="D224" s="155" t="s">
        <v>17</v>
      </c>
      <c r="E224" s="156"/>
      <c r="F224" s="156"/>
      <c r="G224" s="157"/>
      <c r="H224" s="155" t="s">
        <v>18</v>
      </c>
      <c r="I224" s="156"/>
      <c r="J224" s="156"/>
      <c r="K224" s="156"/>
      <c r="L224" s="157"/>
      <c r="M224" s="156" t="s">
        <v>19</v>
      </c>
      <c r="N224" s="157"/>
      <c r="O224" s="44" t="s">
        <v>20</v>
      </c>
      <c r="P224" s="45" t="s">
        <v>21</v>
      </c>
      <c r="Q224" s="158" t="s">
        <v>22</v>
      </c>
      <c r="R224" s="159"/>
    </row>
    <row r="225" spans="3:19" ht="15.75" thickBot="1" x14ac:dyDescent="0.3">
      <c r="D225" s="155" t="s">
        <v>341</v>
      </c>
      <c r="E225" s="156"/>
      <c r="F225" s="156"/>
      <c r="G225" s="157"/>
      <c r="H225" s="155" t="s">
        <v>152</v>
      </c>
      <c r="I225" s="156"/>
      <c r="J225" s="156"/>
      <c r="K225" s="156"/>
      <c r="L225" s="157"/>
      <c r="M225" s="156">
        <v>2</v>
      </c>
      <c r="N225" s="157"/>
      <c r="O225" s="44">
        <v>95</v>
      </c>
      <c r="P225" s="45">
        <f t="shared" ref="P225:P226" si="13">O225*M225</f>
        <v>190</v>
      </c>
      <c r="Q225" s="185">
        <f>SUM(P225:P228)</f>
        <v>585.13</v>
      </c>
      <c r="R225" s="186"/>
    </row>
    <row r="226" spans="3:19" ht="15.75" thickBot="1" x14ac:dyDescent="0.3">
      <c r="D226" s="155" t="s">
        <v>342</v>
      </c>
      <c r="E226" s="156"/>
      <c r="F226" s="156"/>
      <c r="G226" s="157"/>
      <c r="H226" s="155" t="s">
        <v>343</v>
      </c>
      <c r="I226" s="156"/>
      <c r="J226" s="156"/>
      <c r="K226" s="156"/>
      <c r="L226" s="157"/>
      <c r="M226" s="156">
        <v>3</v>
      </c>
      <c r="N226" s="157"/>
      <c r="O226" s="44">
        <v>93</v>
      </c>
      <c r="P226" s="45">
        <f t="shared" si="13"/>
        <v>279</v>
      </c>
      <c r="Q226" s="172"/>
      <c r="R226" s="173"/>
    </row>
    <row r="227" spans="3:19" ht="15.75" thickBot="1" x14ac:dyDescent="0.3">
      <c r="D227" s="155" t="s">
        <v>344</v>
      </c>
      <c r="E227" s="156"/>
      <c r="F227" s="156"/>
      <c r="G227" s="157"/>
      <c r="H227" s="155" t="s">
        <v>152</v>
      </c>
      <c r="I227" s="156"/>
      <c r="J227" s="156"/>
      <c r="K227" s="156"/>
      <c r="L227" s="157"/>
      <c r="M227" s="156">
        <v>0.5</v>
      </c>
      <c r="N227" s="157"/>
      <c r="O227" s="44">
        <v>93</v>
      </c>
      <c r="P227" s="45">
        <f>O227*M227</f>
        <v>46.5</v>
      </c>
      <c r="Q227" s="172"/>
      <c r="R227" s="173"/>
    </row>
    <row r="228" spans="3:19" ht="15.75" thickBot="1" x14ac:dyDescent="0.3">
      <c r="D228" s="155" t="s">
        <v>212</v>
      </c>
      <c r="E228" s="156"/>
      <c r="F228" s="156"/>
      <c r="G228" s="157"/>
      <c r="H228" s="155"/>
      <c r="I228" s="156"/>
      <c r="J228" s="156"/>
      <c r="K228" s="156"/>
      <c r="L228" s="157"/>
      <c r="M228" s="156">
        <v>1</v>
      </c>
      <c r="N228" s="157"/>
      <c r="O228" s="44">
        <v>69.63</v>
      </c>
      <c r="P228" s="45">
        <f t="shared" ref="P228" si="14">O228*M228</f>
        <v>69.63</v>
      </c>
      <c r="Q228" s="178"/>
      <c r="R228" s="179"/>
    </row>
    <row r="230" spans="3:19" ht="3" customHeight="1" x14ac:dyDescent="0.25">
      <c r="C230" s="20"/>
      <c r="D230" s="13"/>
      <c r="E230" s="13"/>
      <c r="F230" s="13"/>
      <c r="G230" s="13"/>
      <c r="H230" s="13"/>
      <c r="I230" s="13"/>
      <c r="J230" s="13"/>
      <c r="L230" s="13"/>
      <c r="M230" s="13"/>
      <c r="N230" s="13"/>
      <c r="O230" s="13"/>
      <c r="P230" s="13"/>
      <c r="Q230" s="13"/>
      <c r="R230" s="13"/>
      <c r="S230" s="21"/>
    </row>
    <row r="231" spans="3:19" ht="15.75" thickBot="1" x14ac:dyDescent="0.3"/>
    <row r="232" spans="3:19" ht="15.75" thickBot="1" x14ac:dyDescent="0.3">
      <c r="C232" s="2" t="s">
        <v>1</v>
      </c>
      <c r="D232" s="161" t="s">
        <v>8</v>
      </c>
      <c r="E232" s="162"/>
      <c r="F232" s="161" t="s">
        <v>9</v>
      </c>
      <c r="G232" s="163"/>
      <c r="H232" s="163"/>
      <c r="I232" s="163"/>
      <c r="J232" s="163"/>
      <c r="K232" s="163"/>
      <c r="L232" s="163"/>
      <c r="M232" s="162"/>
      <c r="N232" s="22" t="s">
        <v>10</v>
      </c>
      <c r="O232" s="161" t="s">
        <v>11</v>
      </c>
      <c r="P232" s="162"/>
      <c r="Q232" s="161" t="s">
        <v>12</v>
      </c>
      <c r="R232" s="163"/>
      <c r="S232" s="162"/>
    </row>
    <row r="233" spans="3:19" ht="15.75" thickBot="1" x14ac:dyDescent="0.3">
      <c r="C233" s="6">
        <v>327</v>
      </c>
      <c r="D233" s="164">
        <v>45712</v>
      </c>
      <c r="E233" s="154"/>
      <c r="F233" s="152"/>
      <c r="G233" s="153"/>
      <c r="H233" s="153"/>
      <c r="I233" s="153"/>
      <c r="J233" s="153"/>
      <c r="K233" s="153"/>
      <c r="L233" s="153"/>
      <c r="M233" s="154"/>
      <c r="N233" s="19"/>
      <c r="O233" s="77" t="s">
        <v>13</v>
      </c>
      <c r="P233" t="s">
        <v>14</v>
      </c>
      <c r="Q233" s="152" t="s">
        <v>349</v>
      </c>
      <c r="R233" s="153"/>
      <c r="S233" s="154"/>
    </row>
    <row r="234" spans="3:19" ht="15.75" thickBot="1" x14ac:dyDescent="0.3">
      <c r="C234" s="161" t="s">
        <v>15</v>
      </c>
      <c r="D234" s="163"/>
      <c r="E234" s="163"/>
      <c r="F234" s="163"/>
      <c r="G234" s="163"/>
      <c r="H234" s="163"/>
      <c r="I234" s="162"/>
      <c r="J234" s="50"/>
      <c r="K234" s="23"/>
      <c r="L234" s="161" t="s">
        <v>7</v>
      </c>
      <c r="M234" s="163"/>
      <c r="N234" s="163"/>
      <c r="O234" s="163"/>
      <c r="P234" s="163"/>
      <c r="Q234" s="163"/>
      <c r="R234" s="163"/>
      <c r="S234" s="162"/>
    </row>
    <row r="235" spans="3:19" ht="15.75" thickBot="1" x14ac:dyDescent="0.3">
      <c r="C235" s="174" t="s">
        <v>16</v>
      </c>
      <c r="D235" s="175"/>
      <c r="E235" s="7" t="s">
        <v>84</v>
      </c>
      <c r="F235" s="7" t="s">
        <v>85</v>
      </c>
      <c r="G235" s="7" t="s">
        <v>86</v>
      </c>
      <c r="H235" s="7" t="s">
        <v>87</v>
      </c>
      <c r="I235" s="8" t="s">
        <v>88</v>
      </c>
      <c r="J235" s="43"/>
      <c r="K235" s="52"/>
      <c r="L235" s="176" t="s">
        <v>17</v>
      </c>
      <c r="M235" s="177"/>
      <c r="N235" s="42" t="s">
        <v>18</v>
      </c>
      <c r="O235" s="34" t="s">
        <v>19</v>
      </c>
      <c r="P235" s="42" t="s">
        <v>20</v>
      </c>
      <c r="Q235" s="34" t="s">
        <v>21</v>
      </c>
      <c r="R235" s="158" t="s">
        <v>22</v>
      </c>
      <c r="S235" s="159"/>
    </row>
    <row r="236" spans="3:19" ht="15.75" thickBot="1" x14ac:dyDescent="0.3">
      <c r="C236" s="166"/>
      <c r="D236" s="180"/>
      <c r="E236" s="11"/>
      <c r="G236" s="11"/>
      <c r="H236" s="11"/>
      <c r="I236" s="12"/>
      <c r="L236" s="165" t="s">
        <v>351</v>
      </c>
      <c r="M236" s="145"/>
      <c r="N236" s="83" t="s">
        <v>352</v>
      </c>
      <c r="O236" s="83">
        <v>6</v>
      </c>
      <c r="P236" s="11">
        <f t="shared" ref="P236:P237" si="15">Q236/O236</f>
        <v>41</v>
      </c>
      <c r="Q236" s="84">
        <v>246</v>
      </c>
      <c r="R236" s="168">
        <f>SUM(Q236:Q238)</f>
        <v>752</v>
      </c>
      <c r="S236" s="169"/>
    </row>
    <row r="237" spans="3:19" ht="15.75" thickBot="1" x14ac:dyDescent="0.3">
      <c r="C237" s="166" t="s">
        <v>350</v>
      </c>
      <c r="D237" s="180"/>
      <c r="E237" s="10"/>
      <c r="F237" s="11">
        <v>5</v>
      </c>
      <c r="G237" s="11">
        <v>10</v>
      </c>
      <c r="H237" s="11">
        <v>10</v>
      </c>
      <c r="I237" s="12">
        <v>5</v>
      </c>
      <c r="L237" s="166"/>
      <c r="M237" s="167"/>
      <c r="N237" s="11" t="s">
        <v>353</v>
      </c>
      <c r="O237" s="11">
        <v>12</v>
      </c>
      <c r="P237" s="11">
        <f t="shared" si="15"/>
        <v>38</v>
      </c>
      <c r="Q237" s="84">
        <v>456</v>
      </c>
      <c r="R237" s="170"/>
      <c r="S237" s="171"/>
    </row>
    <row r="238" spans="3:19" x14ac:dyDescent="0.25">
      <c r="C238" s="166"/>
      <c r="D238" s="180"/>
      <c r="E238" s="10"/>
      <c r="F238" s="11"/>
      <c r="G238" s="11"/>
      <c r="H238" s="11"/>
      <c r="I238" s="12"/>
      <c r="L238" s="166" t="s">
        <v>354</v>
      </c>
      <c r="M238" s="167"/>
      <c r="N238" s="11" t="s">
        <v>273</v>
      </c>
      <c r="O238" s="11">
        <v>7</v>
      </c>
      <c r="P238" s="11">
        <f>Q238/O238</f>
        <v>7.1428571428571432</v>
      </c>
      <c r="Q238" s="84">
        <v>50</v>
      </c>
      <c r="R238" s="170"/>
      <c r="S238" s="171"/>
    </row>
    <row r="239" spans="3:19" x14ac:dyDescent="0.25">
      <c r="J239">
        <f>SUM(E236:I238)</f>
        <v>30</v>
      </c>
    </row>
    <row r="240" spans="3:19" ht="3" customHeight="1" x14ac:dyDescent="0.25">
      <c r="C240" s="20"/>
      <c r="D240" s="13"/>
      <c r="E240" s="13"/>
      <c r="F240" s="13"/>
      <c r="G240" s="13"/>
      <c r="H240" s="13"/>
      <c r="I240" s="13"/>
      <c r="J240" s="13"/>
      <c r="L240" s="13"/>
      <c r="M240" s="13"/>
      <c r="N240" s="13"/>
      <c r="O240" s="13"/>
      <c r="P240" s="13"/>
      <c r="Q240" s="13"/>
      <c r="R240" s="13"/>
      <c r="S240" s="21"/>
    </row>
    <row r="241" spans="3:19" ht="15.75" thickBot="1" x14ac:dyDescent="0.3"/>
    <row r="242" spans="3:19" ht="15.75" thickBot="1" x14ac:dyDescent="0.3">
      <c r="C242" s="2" t="s">
        <v>1</v>
      </c>
      <c r="D242" s="161" t="s">
        <v>8</v>
      </c>
      <c r="E242" s="162"/>
      <c r="F242" s="161" t="s">
        <v>9</v>
      </c>
      <c r="G242" s="163"/>
      <c r="H242" s="163"/>
      <c r="I242" s="163"/>
      <c r="J242" s="163"/>
      <c r="K242" s="163"/>
      <c r="L242" s="163"/>
      <c r="M242" s="163"/>
      <c r="N242" s="162"/>
      <c r="O242" s="22" t="s">
        <v>10</v>
      </c>
      <c r="P242" s="161" t="s">
        <v>11</v>
      </c>
      <c r="Q242" s="162"/>
      <c r="R242" s="161" t="s">
        <v>12</v>
      </c>
      <c r="S242" s="162"/>
    </row>
    <row r="243" spans="3:19" ht="15.75" thickBot="1" x14ac:dyDescent="0.3">
      <c r="C243" s="6">
        <v>328</v>
      </c>
      <c r="D243" s="164">
        <v>45713</v>
      </c>
      <c r="E243" s="154"/>
      <c r="F243" s="152"/>
      <c r="G243" s="153"/>
      <c r="H243" s="153"/>
      <c r="I243" s="153"/>
      <c r="J243" s="153"/>
      <c r="K243" s="153"/>
      <c r="L243" s="153"/>
      <c r="M243" s="153"/>
      <c r="N243" s="154"/>
      <c r="O243" s="19"/>
      <c r="P243" s="77" t="s">
        <v>13</v>
      </c>
      <c r="Q243" t="s">
        <v>14</v>
      </c>
      <c r="R243" s="152" t="s">
        <v>349</v>
      </c>
      <c r="S243" s="154"/>
    </row>
    <row r="244" spans="3:19" ht="15.75" thickBot="1" x14ac:dyDescent="0.3">
      <c r="C244" s="161"/>
      <c r="D244" s="163"/>
      <c r="E244" s="162"/>
      <c r="F244" s="161" t="s">
        <v>130</v>
      </c>
      <c r="G244" s="163"/>
      <c r="H244" s="163"/>
      <c r="I244" s="163"/>
      <c r="J244" s="163"/>
      <c r="K244" s="163"/>
      <c r="L244" s="163"/>
      <c r="M244" s="163"/>
      <c r="N244" s="162"/>
      <c r="O244" s="22"/>
      <c r="P244" s="161"/>
      <c r="Q244" s="162"/>
      <c r="R244" s="161"/>
      <c r="S244" s="162"/>
    </row>
    <row r="245" spans="3:19" ht="15.75" thickBot="1" x14ac:dyDescent="0.3">
      <c r="C245" s="152"/>
      <c r="D245" s="153"/>
      <c r="E245" s="154"/>
      <c r="F245" s="152">
        <v>327</v>
      </c>
      <c r="G245" s="153"/>
      <c r="H245" s="153"/>
      <c r="I245" s="153"/>
      <c r="J245" s="153"/>
      <c r="K245" s="153"/>
      <c r="L245" s="153"/>
      <c r="M245" s="153"/>
      <c r="N245" s="154"/>
      <c r="O245" s="19"/>
      <c r="Q245" s="6"/>
      <c r="R245" s="152"/>
      <c r="S245" s="154"/>
    </row>
    <row r="246" spans="3:19" ht="15.75" thickBot="1" x14ac:dyDescent="0.3">
      <c r="D246" s="155" t="s">
        <v>17</v>
      </c>
      <c r="E246" s="156"/>
      <c r="F246" s="156"/>
      <c r="G246" s="157"/>
      <c r="H246" s="155" t="s">
        <v>18</v>
      </c>
      <c r="I246" s="156"/>
      <c r="J246" s="156"/>
      <c r="K246" s="156"/>
      <c r="L246" s="157"/>
      <c r="M246" s="156" t="s">
        <v>19</v>
      </c>
      <c r="N246" s="157"/>
      <c r="O246" s="44" t="s">
        <v>20</v>
      </c>
      <c r="P246" s="45" t="s">
        <v>21</v>
      </c>
      <c r="Q246" s="158" t="s">
        <v>22</v>
      </c>
      <c r="R246" s="159"/>
    </row>
    <row r="247" spans="3:19" ht="15.75" thickBot="1" x14ac:dyDescent="0.3">
      <c r="D247" s="155" t="s">
        <v>215</v>
      </c>
      <c r="E247" s="156"/>
      <c r="F247" s="156"/>
      <c r="G247" s="157"/>
      <c r="H247" s="155" t="s">
        <v>154</v>
      </c>
      <c r="I247" s="156"/>
      <c r="J247" s="156"/>
      <c r="K247" s="156"/>
      <c r="L247" s="157"/>
      <c r="M247" s="156">
        <v>100</v>
      </c>
      <c r="N247" s="157"/>
      <c r="O247" s="44">
        <v>21.8</v>
      </c>
      <c r="P247" s="45">
        <f t="shared" ref="P247" si="16">O247*M247</f>
        <v>2180</v>
      </c>
      <c r="Q247" s="185">
        <f>SUM(P247:P251)</f>
        <v>5792</v>
      </c>
      <c r="R247" s="186"/>
    </row>
    <row r="248" spans="3:19" ht="15.75" thickBot="1" x14ac:dyDescent="0.3">
      <c r="D248" s="155" t="s">
        <v>260</v>
      </c>
      <c r="E248" s="156"/>
      <c r="F248" s="156"/>
      <c r="G248" s="157"/>
      <c r="H248" s="155" t="s">
        <v>152</v>
      </c>
      <c r="I248" s="156"/>
      <c r="J248" s="156"/>
      <c r="K248" s="156"/>
      <c r="L248" s="157"/>
      <c r="M248" s="156">
        <v>70</v>
      </c>
      <c r="N248" s="157"/>
      <c r="O248" s="44">
        <f>P248/M248</f>
        <v>18.428571428571427</v>
      </c>
      <c r="P248" s="45">
        <v>1290</v>
      </c>
      <c r="Q248" s="172"/>
      <c r="R248" s="173"/>
    </row>
    <row r="249" spans="3:19" ht="15.75" thickBot="1" x14ac:dyDescent="0.3">
      <c r="D249" s="155" t="s">
        <v>355</v>
      </c>
      <c r="E249" s="156"/>
      <c r="F249" s="156"/>
      <c r="G249" s="157"/>
      <c r="H249" s="155" t="s">
        <v>152</v>
      </c>
      <c r="I249" s="156"/>
      <c r="J249" s="156"/>
      <c r="K249" s="156"/>
      <c r="L249" s="157"/>
      <c r="M249" s="187">
        <f>P249/O249</f>
        <v>19.264705882352942</v>
      </c>
      <c r="N249" s="188"/>
      <c r="O249" s="44">
        <v>68</v>
      </c>
      <c r="P249" s="45">
        <v>1310</v>
      </c>
      <c r="Q249" s="172"/>
      <c r="R249" s="173"/>
    </row>
    <row r="250" spans="3:19" ht="15.75" thickBot="1" x14ac:dyDescent="0.3">
      <c r="D250" s="155" t="s">
        <v>351</v>
      </c>
      <c r="E250" s="156"/>
      <c r="F250" s="156"/>
      <c r="G250" s="157"/>
      <c r="H250" s="155" t="s">
        <v>352</v>
      </c>
      <c r="I250" s="156"/>
      <c r="J250" s="156"/>
      <c r="K250" s="156"/>
      <c r="L250" s="157"/>
      <c r="M250" s="156">
        <v>20.3</v>
      </c>
      <c r="N250" s="157"/>
      <c r="O250" s="44">
        <f>P250/M250</f>
        <v>40.985221674876847</v>
      </c>
      <c r="P250" s="45">
        <v>832</v>
      </c>
      <c r="Q250" s="172"/>
      <c r="R250" s="173"/>
    </row>
    <row r="251" spans="3:19" ht="15.75" thickBot="1" x14ac:dyDescent="0.3">
      <c r="D251" s="155" t="s">
        <v>358</v>
      </c>
      <c r="E251" s="156"/>
      <c r="F251" s="156"/>
      <c r="G251" s="157"/>
      <c r="H251" s="155" t="s">
        <v>152</v>
      </c>
      <c r="I251" s="156"/>
      <c r="J251" s="156"/>
      <c r="K251" s="156"/>
      <c r="L251" s="157"/>
      <c r="M251" s="156">
        <v>23</v>
      </c>
      <c r="N251" s="157"/>
      <c r="O251" s="44">
        <f>P251/M251</f>
        <v>7.8260869565217392</v>
      </c>
      <c r="P251" s="45">
        <v>180</v>
      </c>
      <c r="Q251" s="178"/>
      <c r="R251" s="179"/>
    </row>
    <row r="253" spans="3:19" ht="3" customHeight="1" x14ac:dyDescent="0.25">
      <c r="C253" s="20"/>
      <c r="D253" s="13"/>
      <c r="E253" s="13"/>
      <c r="F253" s="13"/>
      <c r="G253" s="13"/>
      <c r="H253" s="13"/>
      <c r="I253" s="13"/>
      <c r="J253" s="13"/>
      <c r="L253" s="13"/>
      <c r="M253" s="13"/>
      <c r="N253" s="13"/>
      <c r="O253" s="13"/>
      <c r="P253" s="13"/>
      <c r="Q253" s="13"/>
      <c r="R253" s="13"/>
      <c r="S253" s="21"/>
    </row>
    <row r="254" spans="3:19" ht="15.75" thickBot="1" x14ac:dyDescent="0.3"/>
    <row r="255" spans="3:19" ht="15.75" thickBot="1" x14ac:dyDescent="0.3">
      <c r="C255" s="2" t="s">
        <v>1</v>
      </c>
      <c r="D255" s="161" t="s">
        <v>8</v>
      </c>
      <c r="E255" s="162"/>
      <c r="F255" s="161" t="s">
        <v>9</v>
      </c>
      <c r="G255" s="163"/>
      <c r="H255" s="163"/>
      <c r="I255" s="163"/>
      <c r="J255" s="163"/>
      <c r="K255" s="163"/>
      <c r="L255" s="163"/>
      <c r="M255" s="162"/>
      <c r="N255" s="22" t="s">
        <v>10</v>
      </c>
      <c r="O255" s="161" t="s">
        <v>11</v>
      </c>
      <c r="P255" s="162"/>
      <c r="Q255" s="161" t="s">
        <v>12</v>
      </c>
      <c r="R255" s="163"/>
      <c r="S255" s="162"/>
    </row>
    <row r="256" spans="3:19" ht="15.75" thickBot="1" x14ac:dyDescent="0.3">
      <c r="C256" s="6">
        <v>352</v>
      </c>
      <c r="D256" s="164">
        <v>45717</v>
      </c>
      <c r="E256" s="154"/>
      <c r="F256" s="152" t="s">
        <v>364</v>
      </c>
      <c r="G256" s="153"/>
      <c r="H256" s="153"/>
      <c r="I256" s="153"/>
      <c r="J256" s="153"/>
      <c r="K256" s="153"/>
      <c r="L256" s="153"/>
      <c r="M256" s="154"/>
      <c r="N256" s="19">
        <v>5</v>
      </c>
      <c r="O256" s="77" t="s">
        <v>13</v>
      </c>
      <c r="P256" t="s">
        <v>14</v>
      </c>
      <c r="Q256" s="152" t="s">
        <v>275</v>
      </c>
      <c r="R256" s="153"/>
      <c r="S256" s="154"/>
    </row>
    <row r="257" spans="3:19" ht="15.75" thickBot="1" x14ac:dyDescent="0.3">
      <c r="C257" s="161" t="s">
        <v>15</v>
      </c>
      <c r="D257" s="163"/>
      <c r="E257" s="163"/>
      <c r="F257" s="163"/>
      <c r="G257" s="163"/>
      <c r="H257" s="163"/>
      <c r="I257" s="162"/>
      <c r="J257" s="50"/>
      <c r="K257" s="23"/>
      <c r="L257" s="161" t="s">
        <v>7</v>
      </c>
      <c r="M257" s="163"/>
      <c r="N257" s="163"/>
      <c r="O257" s="163"/>
      <c r="P257" s="163"/>
      <c r="Q257" s="163"/>
      <c r="R257" s="163"/>
      <c r="S257" s="162"/>
    </row>
    <row r="258" spans="3:19" ht="15.75" thickBot="1" x14ac:dyDescent="0.3">
      <c r="C258" s="174" t="s">
        <v>16</v>
      </c>
      <c r="D258" s="175"/>
      <c r="E258" s="7" t="s">
        <v>84</v>
      </c>
      <c r="F258" s="7" t="s">
        <v>85</v>
      </c>
      <c r="G258" s="7" t="s">
        <v>86</v>
      </c>
      <c r="H258" s="7" t="s">
        <v>87</v>
      </c>
      <c r="I258" s="8" t="s">
        <v>88</v>
      </c>
      <c r="J258" s="43"/>
      <c r="K258" s="52"/>
      <c r="L258" s="176" t="s">
        <v>17</v>
      </c>
      <c r="M258" s="177"/>
      <c r="N258" s="42" t="s">
        <v>18</v>
      </c>
      <c r="O258" s="34" t="s">
        <v>19</v>
      </c>
      <c r="P258" s="42" t="s">
        <v>20</v>
      </c>
      <c r="Q258" s="34" t="s">
        <v>21</v>
      </c>
      <c r="R258" s="158" t="s">
        <v>22</v>
      </c>
      <c r="S258" s="159"/>
    </row>
    <row r="259" spans="3:19" x14ac:dyDescent="0.25">
      <c r="C259" s="166" t="s">
        <v>152</v>
      </c>
      <c r="D259" s="180"/>
      <c r="E259" s="10"/>
      <c r="F259" s="11"/>
      <c r="G259" s="11">
        <v>2</v>
      </c>
      <c r="H259" s="11">
        <v>2</v>
      </c>
      <c r="I259" s="12">
        <v>1</v>
      </c>
      <c r="L259" s="165" t="s">
        <v>196</v>
      </c>
      <c r="M259" s="145"/>
      <c r="N259" s="83" t="s">
        <v>216</v>
      </c>
      <c r="O259" s="83">
        <v>8</v>
      </c>
      <c r="P259" s="83">
        <v>10</v>
      </c>
      <c r="Q259" s="84">
        <f>P259*O259</f>
        <v>80</v>
      </c>
      <c r="R259" s="168">
        <f>SUM(Q259:Q268)</f>
        <v>847.13</v>
      </c>
      <c r="S259" s="169"/>
    </row>
    <row r="260" spans="3:19" x14ac:dyDescent="0.25">
      <c r="C260" s="166" t="s">
        <v>162</v>
      </c>
      <c r="D260" s="180"/>
      <c r="E260" s="10">
        <v>3</v>
      </c>
      <c r="F260" s="11">
        <v>2</v>
      </c>
      <c r="G260" s="11">
        <v>4</v>
      </c>
      <c r="H260" s="11">
        <v>3</v>
      </c>
      <c r="I260" s="12">
        <v>1</v>
      </c>
      <c r="L260" s="166" t="s">
        <v>351</v>
      </c>
      <c r="M260" s="167"/>
      <c r="N260" s="11" t="s">
        <v>352</v>
      </c>
      <c r="O260" s="11">
        <v>5.5</v>
      </c>
      <c r="P260" s="11">
        <v>43</v>
      </c>
      <c r="Q260" s="12">
        <f>P260*O260</f>
        <v>236.5</v>
      </c>
      <c r="R260" s="170"/>
      <c r="S260" s="171"/>
    </row>
    <row r="261" spans="3:19" x14ac:dyDescent="0.25">
      <c r="C261" s="166"/>
      <c r="D261" s="180"/>
      <c r="E261" s="10"/>
      <c r="F261" s="11"/>
      <c r="G261" s="11"/>
      <c r="H261" s="11"/>
      <c r="I261" s="12"/>
      <c r="L261" s="166" t="s">
        <v>215</v>
      </c>
      <c r="M261" s="167"/>
      <c r="N261" s="11" t="s">
        <v>366</v>
      </c>
      <c r="O261" s="11">
        <v>5</v>
      </c>
      <c r="P261" s="11">
        <v>23</v>
      </c>
      <c r="Q261" s="12">
        <f t="shared" ref="Q261:Q266" si="17">P261*O261</f>
        <v>115</v>
      </c>
      <c r="R261" s="170"/>
      <c r="S261" s="171"/>
    </row>
    <row r="262" spans="3:19" x14ac:dyDescent="0.25">
      <c r="C262" s="166"/>
      <c r="D262" s="180"/>
      <c r="E262" s="10"/>
      <c r="F262" s="11"/>
      <c r="G262" s="11"/>
      <c r="H262" s="11"/>
      <c r="I262" s="12"/>
      <c r="L262" s="166" t="s">
        <v>240</v>
      </c>
      <c r="M262" s="167"/>
      <c r="N262" s="11" t="s">
        <v>216</v>
      </c>
      <c r="O262" s="11">
        <v>6.5</v>
      </c>
      <c r="P262" s="11">
        <f>Q262/O262</f>
        <v>17.692307692307693</v>
      </c>
      <c r="Q262" s="12">
        <v>115</v>
      </c>
      <c r="R262" s="170"/>
      <c r="S262" s="171"/>
    </row>
    <row r="263" spans="3:19" x14ac:dyDescent="0.25">
      <c r="C263" s="166"/>
      <c r="D263" s="180"/>
      <c r="E263" s="10"/>
      <c r="F263" s="11"/>
      <c r="G263" s="11"/>
      <c r="H263" s="11"/>
      <c r="I263" s="12"/>
      <c r="L263" s="166" t="s">
        <v>242</v>
      </c>
      <c r="M263" s="167"/>
      <c r="N263" s="11" t="s">
        <v>216</v>
      </c>
      <c r="O263" s="11">
        <v>12</v>
      </c>
      <c r="P263" s="11">
        <f>47/12</f>
        <v>3.9166666666666665</v>
      </c>
      <c r="Q263" s="12">
        <f t="shared" si="17"/>
        <v>47</v>
      </c>
      <c r="R263" s="170"/>
      <c r="S263" s="171"/>
    </row>
    <row r="264" spans="3:19" x14ac:dyDescent="0.25">
      <c r="C264" s="166"/>
      <c r="D264" s="180"/>
      <c r="E264" s="10"/>
      <c r="F264" s="11"/>
      <c r="G264" s="11"/>
      <c r="H264" s="11"/>
      <c r="I264" s="12"/>
      <c r="L264" s="166"/>
      <c r="M264" s="167"/>
      <c r="N264" s="11" t="s">
        <v>352</v>
      </c>
      <c r="O264" s="11">
        <v>30</v>
      </c>
      <c r="P264" s="11">
        <f t="shared" ref="P264:P265" si="18">47/12</f>
        <v>3.9166666666666665</v>
      </c>
      <c r="Q264" s="12">
        <f t="shared" si="17"/>
        <v>117.5</v>
      </c>
      <c r="R264" s="170"/>
      <c r="S264" s="171"/>
    </row>
    <row r="265" spans="3:19" x14ac:dyDescent="0.25">
      <c r="C265" s="166"/>
      <c r="D265" s="180"/>
      <c r="E265" s="10"/>
      <c r="F265" s="11"/>
      <c r="G265" s="11"/>
      <c r="H265" s="11"/>
      <c r="I265" s="12"/>
      <c r="L265" s="166"/>
      <c r="M265" s="167"/>
      <c r="N265" s="11" t="s">
        <v>366</v>
      </c>
      <c r="O265" s="11">
        <v>6</v>
      </c>
      <c r="P265" s="11">
        <f t="shared" si="18"/>
        <v>3.9166666666666665</v>
      </c>
      <c r="Q265" s="12">
        <f t="shared" si="17"/>
        <v>23.5</v>
      </c>
      <c r="R265" s="170"/>
      <c r="S265" s="171"/>
    </row>
    <row r="266" spans="3:19" x14ac:dyDescent="0.25">
      <c r="C266" s="166"/>
      <c r="D266" s="180"/>
      <c r="E266" s="10"/>
      <c r="F266" s="11"/>
      <c r="G266" s="11"/>
      <c r="H266" s="11"/>
      <c r="I266" s="12"/>
      <c r="L266" s="166" t="s">
        <v>367</v>
      </c>
      <c r="M266" s="167"/>
      <c r="N266" s="11" t="s">
        <v>152</v>
      </c>
      <c r="O266" s="11">
        <v>100</v>
      </c>
      <c r="P266" s="11">
        <f>18/O266</f>
        <v>0.18</v>
      </c>
      <c r="Q266" s="12">
        <f t="shared" si="17"/>
        <v>18</v>
      </c>
      <c r="R266" s="170"/>
      <c r="S266" s="171"/>
    </row>
    <row r="267" spans="3:19" x14ac:dyDescent="0.25">
      <c r="C267" s="166"/>
      <c r="D267" s="180"/>
      <c r="E267" s="10"/>
      <c r="F267" s="11"/>
      <c r="G267" s="11"/>
      <c r="H267" s="11"/>
      <c r="I267" s="12"/>
      <c r="L267" s="166" t="s">
        <v>212</v>
      </c>
      <c r="M267" s="167"/>
      <c r="N267" s="11"/>
      <c r="O267" s="11">
        <v>1</v>
      </c>
      <c r="P267" s="11">
        <v>69.63</v>
      </c>
      <c r="Q267" s="12">
        <f>P267*O267</f>
        <v>69.63</v>
      </c>
      <c r="R267" s="170"/>
      <c r="S267" s="171"/>
    </row>
    <row r="268" spans="3:19" ht="15.75" thickBot="1" x14ac:dyDescent="0.3">
      <c r="C268" s="166"/>
      <c r="D268" s="180"/>
      <c r="E268" s="10"/>
      <c r="F268" s="11"/>
      <c r="G268" s="11"/>
      <c r="H268" s="11"/>
      <c r="I268" s="12"/>
      <c r="L268" s="166" t="s">
        <v>368</v>
      </c>
      <c r="M268" s="167"/>
      <c r="N268" s="11" t="s">
        <v>162</v>
      </c>
      <c r="O268" s="11">
        <v>12</v>
      </c>
      <c r="P268">
        <f>25/12</f>
        <v>2.0833333333333335</v>
      </c>
      <c r="Q268" s="12">
        <v>25</v>
      </c>
      <c r="R268" s="181"/>
      <c r="S268" s="182"/>
    </row>
    <row r="269" spans="3:19" ht="15.75" thickBot="1" x14ac:dyDescent="0.3">
      <c r="J269">
        <f>SUM(E259:I268)</f>
        <v>18</v>
      </c>
      <c r="Q269" s="12"/>
    </row>
    <row r="270" spans="3:19" ht="15.75" thickBot="1" x14ac:dyDescent="0.3">
      <c r="C270" s="2" t="s">
        <v>1</v>
      </c>
      <c r="D270" s="161" t="s">
        <v>8</v>
      </c>
      <c r="E270" s="162"/>
      <c r="F270" s="161" t="s">
        <v>9</v>
      </c>
      <c r="G270" s="163"/>
      <c r="H270" s="163"/>
      <c r="I270" s="163"/>
      <c r="J270" s="163"/>
      <c r="K270" s="163"/>
      <c r="L270" s="163"/>
      <c r="M270" s="162"/>
      <c r="N270" s="22" t="s">
        <v>10</v>
      </c>
      <c r="O270" s="161" t="s">
        <v>11</v>
      </c>
      <c r="P270" s="162"/>
      <c r="Q270" s="161" t="s">
        <v>12</v>
      </c>
      <c r="R270" s="163"/>
      <c r="S270" s="162"/>
    </row>
    <row r="271" spans="3:19" ht="15.75" thickBot="1" x14ac:dyDescent="0.3">
      <c r="C271" s="6"/>
      <c r="D271" s="164"/>
      <c r="E271" s="154"/>
      <c r="F271" s="152" t="s">
        <v>256</v>
      </c>
      <c r="G271" s="153"/>
      <c r="H271" s="153"/>
      <c r="I271" s="153"/>
      <c r="J271" s="153"/>
      <c r="K271" s="153"/>
      <c r="L271" s="153"/>
      <c r="M271" s="154"/>
      <c r="N271" s="19">
        <v>18</v>
      </c>
      <c r="O271" s="77" t="s">
        <v>13</v>
      </c>
      <c r="P271" t="s">
        <v>14</v>
      </c>
      <c r="Q271" s="152" t="s">
        <v>243</v>
      </c>
      <c r="R271" s="153"/>
      <c r="S271" s="154"/>
    </row>
    <row r="272" spans="3:19" ht="15.75" thickBot="1" x14ac:dyDescent="0.3">
      <c r="C272" s="161" t="s">
        <v>15</v>
      </c>
      <c r="D272" s="163"/>
      <c r="E272" s="163"/>
      <c r="F272" s="163"/>
      <c r="G272" s="163"/>
      <c r="H272" s="163"/>
      <c r="I272" s="162"/>
      <c r="J272" s="50"/>
      <c r="K272" s="23"/>
      <c r="L272" s="161" t="s">
        <v>7</v>
      </c>
      <c r="M272" s="163"/>
      <c r="N272" s="163"/>
      <c r="O272" s="163"/>
      <c r="P272" s="163"/>
      <c r="Q272" s="163"/>
      <c r="R272" s="163"/>
      <c r="S272" s="162"/>
    </row>
    <row r="273" spans="3:19" ht="15.75" thickBot="1" x14ac:dyDescent="0.3">
      <c r="C273" s="174" t="s">
        <v>16</v>
      </c>
      <c r="D273" s="175"/>
      <c r="E273" s="7" t="s">
        <v>84</v>
      </c>
      <c r="F273" s="7" t="s">
        <v>85</v>
      </c>
      <c r="G273" s="7" t="s">
        <v>86</v>
      </c>
      <c r="H273" s="7" t="s">
        <v>87</v>
      </c>
      <c r="I273" s="8" t="s">
        <v>233</v>
      </c>
      <c r="J273" s="43"/>
      <c r="K273" s="52"/>
      <c r="L273" s="176" t="s">
        <v>17</v>
      </c>
      <c r="M273" s="177"/>
      <c r="N273" s="42" t="s">
        <v>18</v>
      </c>
      <c r="O273" s="34" t="s">
        <v>19</v>
      </c>
      <c r="P273" s="42" t="s">
        <v>20</v>
      </c>
      <c r="Q273" s="34" t="s">
        <v>21</v>
      </c>
      <c r="R273" s="158" t="s">
        <v>22</v>
      </c>
      <c r="S273" s="159"/>
    </row>
    <row r="274" spans="3:19" ht="15.75" thickBot="1" x14ac:dyDescent="0.3">
      <c r="C274" s="166" t="s">
        <v>32</v>
      </c>
      <c r="D274" s="180"/>
      <c r="E274" s="10"/>
      <c r="F274" s="11">
        <v>1</v>
      </c>
      <c r="G274" s="11">
        <v>4</v>
      </c>
      <c r="H274" s="11">
        <v>1</v>
      </c>
      <c r="I274" s="12"/>
      <c r="L274" s="165"/>
      <c r="M274" s="145"/>
      <c r="N274" s="83"/>
      <c r="O274" s="83"/>
      <c r="P274" s="83"/>
      <c r="Q274" s="84"/>
      <c r="R274" s="168"/>
      <c r="S274" s="169"/>
    </row>
    <row r="275" spans="3:19" ht="15.75" thickBot="1" x14ac:dyDescent="0.3">
      <c r="C275" s="183" t="s">
        <v>33</v>
      </c>
      <c r="D275" s="184"/>
      <c r="E275" s="10"/>
      <c r="F275" s="11">
        <v>2</v>
      </c>
      <c r="G275" s="11"/>
      <c r="H275" s="11">
        <v>2</v>
      </c>
      <c r="I275" s="12"/>
      <c r="L275" s="166"/>
      <c r="M275" s="167"/>
      <c r="N275" s="11"/>
      <c r="O275" s="11"/>
      <c r="P275" s="11"/>
      <c r="Q275" s="84"/>
      <c r="R275" s="181"/>
      <c r="S275" s="182"/>
    </row>
    <row r="276" spans="3:19" ht="15.75" thickBot="1" x14ac:dyDescent="0.3">
      <c r="J276">
        <f>SUM(E274:I275)</f>
        <v>10</v>
      </c>
    </row>
    <row r="277" spans="3:19" ht="15.75" thickBot="1" x14ac:dyDescent="0.3">
      <c r="C277" s="2" t="s">
        <v>1</v>
      </c>
      <c r="D277" s="161" t="s">
        <v>8</v>
      </c>
      <c r="E277" s="162"/>
      <c r="F277" s="161" t="s">
        <v>9</v>
      </c>
      <c r="G277" s="163"/>
      <c r="H277" s="163"/>
      <c r="I277" s="163"/>
      <c r="J277" s="163"/>
      <c r="K277" s="163"/>
      <c r="L277" s="163"/>
      <c r="M277" s="162"/>
      <c r="N277" s="22" t="s">
        <v>10</v>
      </c>
      <c r="O277" s="161" t="s">
        <v>11</v>
      </c>
      <c r="P277" s="162"/>
      <c r="Q277" s="161" t="s">
        <v>12</v>
      </c>
      <c r="R277" s="163"/>
      <c r="S277" s="162"/>
    </row>
    <row r="278" spans="3:19" ht="15.75" thickBot="1" x14ac:dyDescent="0.3">
      <c r="C278" s="6"/>
      <c r="D278" s="164"/>
      <c r="E278" s="154"/>
      <c r="F278" s="152" t="s">
        <v>151</v>
      </c>
      <c r="G278" s="153"/>
      <c r="H278" s="153"/>
      <c r="I278" s="153"/>
      <c r="J278" s="153"/>
      <c r="K278" s="153"/>
      <c r="L278" s="153"/>
      <c r="M278" s="154"/>
      <c r="N278" s="19">
        <v>1</v>
      </c>
      <c r="O278" s="77" t="s">
        <v>13</v>
      </c>
      <c r="P278" t="s">
        <v>14</v>
      </c>
      <c r="Q278" s="152" t="s">
        <v>230</v>
      </c>
      <c r="R278" s="153"/>
      <c r="S278" s="154"/>
    </row>
    <row r="279" spans="3:19" ht="15.75" thickBot="1" x14ac:dyDescent="0.3">
      <c r="C279" s="161" t="s">
        <v>15</v>
      </c>
      <c r="D279" s="163"/>
      <c r="E279" s="163"/>
      <c r="F279" s="163"/>
      <c r="G279" s="163"/>
      <c r="H279" s="163"/>
      <c r="I279" s="162"/>
      <c r="J279" s="50"/>
      <c r="K279" s="23"/>
      <c r="L279" s="161" t="s">
        <v>7</v>
      </c>
      <c r="M279" s="163"/>
      <c r="N279" s="163"/>
      <c r="O279" s="163"/>
      <c r="P279" s="163"/>
      <c r="Q279" s="163"/>
      <c r="R279" s="163"/>
      <c r="S279" s="162"/>
    </row>
    <row r="280" spans="3:19" ht="15.75" thickBot="1" x14ac:dyDescent="0.3">
      <c r="C280" s="174" t="s">
        <v>16</v>
      </c>
      <c r="D280" s="175"/>
      <c r="E280" s="7" t="s">
        <v>84</v>
      </c>
      <c r="F280" s="7" t="s">
        <v>85</v>
      </c>
      <c r="G280" s="7" t="s">
        <v>86</v>
      </c>
      <c r="H280" s="7" t="s">
        <v>87</v>
      </c>
      <c r="I280" s="8" t="s">
        <v>88</v>
      </c>
      <c r="J280" s="43"/>
      <c r="K280" s="52"/>
      <c r="L280" s="176" t="s">
        <v>17</v>
      </c>
      <c r="M280" s="177"/>
      <c r="N280" s="42" t="s">
        <v>18</v>
      </c>
      <c r="O280" s="34" t="s">
        <v>19</v>
      </c>
      <c r="P280" s="42" t="s">
        <v>20</v>
      </c>
      <c r="Q280" s="34" t="s">
        <v>21</v>
      </c>
      <c r="R280" s="158" t="s">
        <v>22</v>
      </c>
      <c r="S280" s="159"/>
    </row>
    <row r="281" spans="3:19" x14ac:dyDescent="0.25">
      <c r="C281" s="166" t="s">
        <v>365</v>
      </c>
      <c r="D281" s="180"/>
      <c r="E281" s="10"/>
      <c r="F281" s="11"/>
      <c r="G281" s="11">
        <v>2</v>
      </c>
      <c r="H281" s="11">
        <v>2</v>
      </c>
      <c r="I281" s="12"/>
      <c r="L281" s="165"/>
      <c r="M281" s="145"/>
      <c r="N281" s="83"/>
      <c r="O281" s="83"/>
      <c r="P281" s="83"/>
      <c r="Q281" s="84"/>
      <c r="R281" s="168"/>
      <c r="S281" s="169"/>
    </row>
    <row r="282" spans="3:19" x14ac:dyDescent="0.25">
      <c r="C282" s="166" t="s">
        <v>152</v>
      </c>
      <c r="D282" s="180"/>
      <c r="E282" s="10"/>
      <c r="F282" s="11"/>
      <c r="G282" s="11">
        <v>1</v>
      </c>
      <c r="H282" s="11"/>
      <c r="I282" s="12"/>
      <c r="L282" s="166"/>
      <c r="M282" s="167"/>
      <c r="N282" s="11"/>
      <c r="O282" s="11"/>
      <c r="P282" s="11"/>
      <c r="Q282" s="12"/>
      <c r="R282" s="170"/>
      <c r="S282" s="171"/>
    </row>
    <row r="283" spans="3:19" x14ac:dyDescent="0.25">
      <c r="J283">
        <f>SUM(E281:I282)</f>
        <v>5</v>
      </c>
    </row>
    <row r="284" spans="3:19" ht="3" customHeight="1" x14ac:dyDescent="0.25">
      <c r="C284" s="20"/>
      <c r="D284" s="13"/>
      <c r="E284" s="13"/>
      <c r="F284" s="13"/>
      <c r="G284" s="13"/>
      <c r="H284" s="13"/>
      <c r="I284" s="13"/>
      <c r="J284" s="13"/>
      <c r="L284" s="13"/>
      <c r="M284" s="13"/>
      <c r="N284" s="13"/>
      <c r="O284" s="13"/>
      <c r="P284" s="13"/>
      <c r="Q284" s="13"/>
      <c r="R284" s="13"/>
      <c r="S284" s="21"/>
    </row>
    <row r="285" spans="3:19" ht="15.75" thickBot="1" x14ac:dyDescent="0.3"/>
    <row r="286" spans="3:19" ht="15.75" thickBot="1" x14ac:dyDescent="0.3">
      <c r="C286" s="2" t="s">
        <v>1</v>
      </c>
      <c r="D286" s="161" t="s">
        <v>8</v>
      </c>
      <c r="E286" s="162"/>
      <c r="F286" s="161" t="s">
        <v>9</v>
      </c>
      <c r="G286" s="163"/>
      <c r="H286" s="163"/>
      <c r="I286" s="163"/>
      <c r="J286" s="163"/>
      <c r="K286" s="163"/>
      <c r="L286" s="163"/>
      <c r="M286" s="163"/>
      <c r="N286" s="162"/>
      <c r="O286" s="22" t="s">
        <v>10</v>
      </c>
      <c r="P286" s="161" t="s">
        <v>11</v>
      </c>
      <c r="Q286" s="162"/>
      <c r="R286" s="161" t="s">
        <v>12</v>
      </c>
      <c r="S286" s="162"/>
    </row>
    <row r="287" spans="3:19" ht="15.75" thickBot="1" x14ac:dyDescent="0.3">
      <c r="C287" s="6">
        <v>366</v>
      </c>
      <c r="D287" s="164">
        <v>45721</v>
      </c>
      <c r="E287" s="154"/>
      <c r="F287" s="152" t="s">
        <v>377</v>
      </c>
      <c r="G287" s="153"/>
      <c r="H287" s="153"/>
      <c r="I287" s="153"/>
      <c r="J287" s="153"/>
      <c r="K287" s="153"/>
      <c r="L287" s="153"/>
      <c r="M287" s="153"/>
      <c r="N287" s="154"/>
      <c r="O287" s="19">
        <v>5</v>
      </c>
      <c r="P287" s="49" t="s">
        <v>13</v>
      </c>
      <c r="Q287" t="s">
        <v>14</v>
      </c>
      <c r="R287" s="152" t="s">
        <v>275</v>
      </c>
      <c r="S287" s="154"/>
    </row>
    <row r="288" spans="3:19" ht="15.75" thickBot="1" x14ac:dyDescent="0.3">
      <c r="C288" s="161"/>
      <c r="D288" s="163"/>
      <c r="E288" s="162"/>
      <c r="F288" s="161" t="s">
        <v>130</v>
      </c>
      <c r="G288" s="163"/>
      <c r="H288" s="163"/>
      <c r="I288" s="163"/>
      <c r="J288" s="163"/>
      <c r="K288" s="163"/>
      <c r="L288" s="163"/>
      <c r="M288" s="163"/>
      <c r="N288" s="162"/>
      <c r="O288" s="22"/>
      <c r="P288" s="161"/>
      <c r="Q288" s="162"/>
      <c r="R288" s="161"/>
      <c r="S288" s="162"/>
    </row>
    <row r="289" spans="3:19" ht="15.75" thickBot="1" x14ac:dyDescent="0.3">
      <c r="C289" s="152"/>
      <c r="D289" s="153"/>
      <c r="E289" s="154"/>
      <c r="F289" s="152">
        <v>327</v>
      </c>
      <c r="G289" s="153"/>
      <c r="H289" s="153"/>
      <c r="I289" s="153"/>
      <c r="J289" s="153"/>
      <c r="K289" s="153"/>
      <c r="L289" s="153"/>
      <c r="M289" s="153"/>
      <c r="N289" s="154"/>
      <c r="O289" s="19"/>
      <c r="Q289" s="6"/>
      <c r="R289" s="152"/>
      <c r="S289" s="154"/>
    </row>
    <row r="290" spans="3:19" ht="15.75" thickBot="1" x14ac:dyDescent="0.3">
      <c r="D290" s="155" t="s">
        <v>17</v>
      </c>
      <c r="E290" s="156"/>
      <c r="F290" s="156"/>
      <c r="G290" s="157"/>
      <c r="H290" s="155" t="s">
        <v>18</v>
      </c>
      <c r="I290" s="156"/>
      <c r="J290" s="156"/>
      <c r="K290" s="156"/>
      <c r="L290" s="157"/>
      <c r="M290" s="156" t="s">
        <v>19</v>
      </c>
      <c r="N290" s="157"/>
      <c r="O290" s="44" t="s">
        <v>20</v>
      </c>
      <c r="P290" s="45" t="s">
        <v>21</v>
      </c>
      <c r="Q290" s="158" t="s">
        <v>22</v>
      </c>
      <c r="R290" s="159"/>
    </row>
    <row r="291" spans="3:19" ht="15.75" thickBot="1" x14ac:dyDescent="0.3">
      <c r="D291" s="155" t="s">
        <v>177</v>
      </c>
      <c r="E291" s="156"/>
      <c r="F291" s="156"/>
      <c r="G291" s="157"/>
      <c r="H291" s="155" t="s">
        <v>162</v>
      </c>
      <c r="I291" s="156"/>
      <c r="J291" s="156"/>
      <c r="K291" s="156"/>
      <c r="L291" s="157"/>
      <c r="M291" s="156">
        <v>2.5</v>
      </c>
      <c r="N291" s="157"/>
      <c r="O291" s="44">
        <f>P291/M291</f>
        <v>26.8</v>
      </c>
      <c r="P291" s="45">
        <v>67</v>
      </c>
      <c r="Q291" s="172">
        <f>SUM(P291:P292)</f>
        <v>97</v>
      </c>
      <c r="R291" s="173"/>
    </row>
    <row r="292" spans="3:19" ht="15.75" thickBot="1" x14ac:dyDescent="0.3">
      <c r="D292" s="155" t="s">
        <v>196</v>
      </c>
      <c r="E292" s="156"/>
      <c r="F292" s="156"/>
      <c r="G292" s="157"/>
      <c r="H292" s="155" t="s">
        <v>366</v>
      </c>
      <c r="I292" s="156"/>
      <c r="J292" s="156"/>
      <c r="K292" s="156"/>
      <c r="L292" s="157"/>
      <c r="M292" s="156">
        <v>3</v>
      </c>
      <c r="N292" s="157"/>
      <c r="O292" s="44">
        <v>10</v>
      </c>
      <c r="P292" s="45">
        <f>O292*M292</f>
        <v>30</v>
      </c>
      <c r="Q292" s="178"/>
      <c r="R292" s="179"/>
    </row>
    <row r="294" spans="3:19" ht="3" customHeight="1" x14ac:dyDescent="0.25">
      <c r="C294" s="20"/>
      <c r="D294" s="13"/>
      <c r="E294" s="13"/>
      <c r="F294" s="13"/>
      <c r="G294" s="13"/>
      <c r="H294" s="13"/>
      <c r="I294" s="13"/>
      <c r="J294" s="13"/>
      <c r="L294" s="13"/>
      <c r="M294" s="13"/>
      <c r="N294" s="13"/>
      <c r="O294" s="13"/>
      <c r="P294" s="13"/>
      <c r="Q294" s="13"/>
      <c r="R294" s="13"/>
      <c r="S294" s="21"/>
    </row>
    <row r="295" spans="3:19" ht="15.75" thickBot="1" x14ac:dyDescent="0.3"/>
    <row r="296" spans="3:19" ht="15.75" thickBot="1" x14ac:dyDescent="0.3">
      <c r="C296" s="2" t="s">
        <v>1</v>
      </c>
      <c r="D296" s="161" t="s">
        <v>8</v>
      </c>
      <c r="E296" s="162"/>
      <c r="F296" s="161" t="s">
        <v>9</v>
      </c>
      <c r="G296" s="163"/>
      <c r="H296" s="163"/>
      <c r="I296" s="163"/>
      <c r="J296" s="163"/>
      <c r="K296" s="163"/>
      <c r="L296" s="163"/>
      <c r="M296" s="163"/>
      <c r="N296" s="162"/>
      <c r="O296" s="22" t="s">
        <v>10</v>
      </c>
      <c r="P296" s="161" t="s">
        <v>11</v>
      </c>
      <c r="Q296" s="162"/>
      <c r="R296" s="161" t="s">
        <v>12</v>
      </c>
      <c r="S296" s="162"/>
    </row>
    <row r="297" spans="3:19" ht="15.75" thickBot="1" x14ac:dyDescent="0.3">
      <c r="C297" s="6">
        <v>388</v>
      </c>
      <c r="D297" s="164">
        <v>45726</v>
      </c>
      <c r="E297" s="154"/>
      <c r="F297" s="152" t="s">
        <v>377</v>
      </c>
      <c r="G297" s="153"/>
      <c r="H297" s="153"/>
      <c r="I297" s="153"/>
      <c r="J297" s="153"/>
      <c r="K297" s="153"/>
      <c r="L297" s="153"/>
      <c r="M297" s="153"/>
      <c r="N297" s="154"/>
      <c r="O297" s="19">
        <v>1</v>
      </c>
      <c r="P297" s="49" t="s">
        <v>13</v>
      </c>
      <c r="Q297" t="s">
        <v>14</v>
      </c>
      <c r="R297" s="152" t="s">
        <v>230</v>
      </c>
      <c r="S297" s="154"/>
    </row>
    <row r="298" spans="3:19" ht="15.75" thickBot="1" x14ac:dyDescent="0.3">
      <c r="C298" s="161"/>
      <c r="D298" s="163"/>
      <c r="E298" s="162"/>
      <c r="F298" s="161" t="s">
        <v>130</v>
      </c>
      <c r="G298" s="163"/>
      <c r="H298" s="163"/>
      <c r="I298" s="163"/>
      <c r="J298" s="163"/>
      <c r="K298" s="163"/>
      <c r="L298" s="163"/>
      <c r="M298" s="163"/>
      <c r="N298" s="162"/>
      <c r="O298" s="22"/>
      <c r="P298" s="161"/>
      <c r="Q298" s="162"/>
      <c r="R298" s="161"/>
      <c r="S298" s="162"/>
    </row>
    <row r="299" spans="3:19" ht="15.75" thickBot="1" x14ac:dyDescent="0.3">
      <c r="C299" s="152"/>
      <c r="D299" s="153"/>
      <c r="E299" s="154"/>
      <c r="F299" s="152"/>
      <c r="G299" s="153"/>
      <c r="H299" s="153"/>
      <c r="I299" s="153"/>
      <c r="J299" s="153"/>
      <c r="K299" s="153"/>
      <c r="L299" s="153"/>
      <c r="M299" s="153"/>
      <c r="N299" s="154"/>
      <c r="O299" s="19"/>
      <c r="Q299" s="6"/>
      <c r="R299" s="152"/>
      <c r="S299" s="154"/>
    </row>
    <row r="300" spans="3:19" ht="15.75" thickBot="1" x14ac:dyDescent="0.3">
      <c r="D300" s="155" t="s">
        <v>17</v>
      </c>
      <c r="E300" s="156"/>
      <c r="F300" s="156"/>
      <c r="G300" s="157"/>
      <c r="H300" s="155" t="s">
        <v>18</v>
      </c>
      <c r="I300" s="156"/>
      <c r="J300" s="156"/>
      <c r="K300" s="156"/>
      <c r="L300" s="157"/>
      <c r="M300" s="156" t="s">
        <v>19</v>
      </c>
      <c r="N300" s="157"/>
      <c r="O300" s="44" t="s">
        <v>20</v>
      </c>
      <c r="P300" s="45" t="s">
        <v>21</v>
      </c>
      <c r="Q300" s="158" t="s">
        <v>22</v>
      </c>
      <c r="R300" s="159"/>
    </row>
    <row r="301" spans="3:19" ht="15.75" thickBot="1" x14ac:dyDescent="0.3">
      <c r="D301" s="155" t="s">
        <v>242</v>
      </c>
      <c r="E301" s="156"/>
      <c r="F301" s="156"/>
      <c r="G301" s="157"/>
      <c r="H301" s="155" t="s">
        <v>152</v>
      </c>
      <c r="I301" s="156"/>
      <c r="J301" s="156"/>
      <c r="K301" s="156"/>
      <c r="L301" s="157"/>
      <c r="M301" s="156">
        <v>12</v>
      </c>
      <c r="N301" s="157"/>
      <c r="O301" s="44">
        <f t="shared" ref="O301:O302" si="19">47/12</f>
        <v>3.9166666666666665</v>
      </c>
      <c r="P301" s="45">
        <f>M301*O301</f>
        <v>47</v>
      </c>
      <c r="Q301" s="102"/>
      <c r="R301" s="101"/>
    </row>
    <row r="302" spans="3:19" ht="15.75" thickBot="1" x14ac:dyDescent="0.3">
      <c r="D302" s="155"/>
      <c r="E302" s="156"/>
      <c r="F302" s="156"/>
      <c r="G302" s="157"/>
      <c r="H302" s="155" t="s">
        <v>226</v>
      </c>
      <c r="I302" s="156"/>
      <c r="J302" s="156"/>
      <c r="K302" s="156"/>
      <c r="L302" s="157"/>
      <c r="M302" s="156">
        <v>12</v>
      </c>
      <c r="N302" s="157"/>
      <c r="O302" s="44">
        <f t="shared" si="19"/>
        <v>3.9166666666666665</v>
      </c>
      <c r="P302" s="45">
        <f t="shared" ref="P302:P306" si="20">M302*O302</f>
        <v>47</v>
      </c>
      <c r="Q302" s="102"/>
      <c r="R302" s="101"/>
    </row>
    <row r="303" spans="3:19" ht="15.75" thickBot="1" x14ac:dyDescent="0.3">
      <c r="D303" s="155"/>
      <c r="E303" s="156"/>
      <c r="F303" s="156"/>
      <c r="G303" s="157"/>
      <c r="H303" s="155" t="s">
        <v>386</v>
      </c>
      <c r="I303" s="156"/>
      <c r="J303" s="156"/>
      <c r="K303" s="156"/>
      <c r="L303" s="157"/>
      <c r="M303" s="156">
        <v>6</v>
      </c>
      <c r="N303" s="157"/>
      <c r="O303" s="44">
        <f>47/12</f>
        <v>3.9166666666666665</v>
      </c>
      <c r="P303" s="45">
        <f t="shared" si="20"/>
        <v>23.5</v>
      </c>
      <c r="Q303" s="102"/>
      <c r="R303" s="101"/>
    </row>
    <row r="304" spans="3:19" ht="15.75" thickBot="1" x14ac:dyDescent="0.3">
      <c r="D304" s="155" t="s">
        <v>240</v>
      </c>
      <c r="E304" s="156"/>
      <c r="F304" s="156"/>
      <c r="G304" s="157"/>
      <c r="H304" s="155" t="s">
        <v>386</v>
      </c>
      <c r="I304" s="156"/>
      <c r="J304" s="156"/>
      <c r="K304" s="156"/>
      <c r="L304" s="157"/>
      <c r="M304" s="156">
        <v>3</v>
      </c>
      <c r="N304" s="157"/>
      <c r="O304" s="44">
        <v>18</v>
      </c>
      <c r="P304" s="45">
        <f t="shared" si="20"/>
        <v>54</v>
      </c>
      <c r="Q304" s="102"/>
      <c r="R304" s="101"/>
    </row>
    <row r="305" spans="3:19" ht="15.75" thickBot="1" x14ac:dyDescent="0.3">
      <c r="D305" s="155" t="s">
        <v>196</v>
      </c>
      <c r="E305" s="156"/>
      <c r="F305" s="156"/>
      <c r="G305" s="157"/>
      <c r="H305" s="155" t="s">
        <v>386</v>
      </c>
      <c r="I305" s="156"/>
      <c r="J305" s="156"/>
      <c r="K305" s="156"/>
      <c r="L305" s="157"/>
      <c r="M305" s="156">
        <v>3</v>
      </c>
      <c r="N305" s="157"/>
      <c r="O305" s="44">
        <v>10</v>
      </c>
      <c r="P305" s="45">
        <f t="shared" si="20"/>
        <v>30</v>
      </c>
      <c r="Q305" s="172">
        <f>SUM(P301:P306)</f>
        <v>211.5</v>
      </c>
      <c r="R305" s="173"/>
    </row>
    <row r="306" spans="3:19" ht="15.75" thickBot="1" x14ac:dyDescent="0.3">
      <c r="D306" s="155"/>
      <c r="E306" s="156"/>
      <c r="F306" s="156"/>
      <c r="G306" s="157"/>
      <c r="H306" s="155" t="s">
        <v>152</v>
      </c>
      <c r="I306" s="156"/>
      <c r="J306" s="156"/>
      <c r="K306" s="156"/>
      <c r="L306" s="157"/>
      <c r="M306" s="156">
        <v>1</v>
      </c>
      <c r="N306" s="157"/>
      <c r="O306" s="44">
        <v>10</v>
      </c>
      <c r="P306" s="45">
        <f t="shared" si="20"/>
        <v>10</v>
      </c>
      <c r="Q306" s="178"/>
      <c r="R306" s="179"/>
    </row>
    <row r="308" spans="3:19" ht="3" customHeight="1" x14ac:dyDescent="0.25">
      <c r="C308" s="20"/>
      <c r="D308" s="13"/>
      <c r="E308" s="13"/>
      <c r="F308" s="13"/>
      <c r="G308" s="13"/>
      <c r="H308" s="13"/>
      <c r="I308" s="13"/>
      <c r="J308" s="13"/>
      <c r="L308" s="13"/>
      <c r="M308" s="13"/>
      <c r="N308" s="13"/>
      <c r="O308" s="13"/>
      <c r="P308" s="13"/>
      <c r="Q308" s="13"/>
      <c r="R308" s="13"/>
      <c r="S308" s="21"/>
    </row>
    <row r="309" spans="3:19" ht="15.75" thickBot="1" x14ac:dyDescent="0.3"/>
    <row r="310" spans="3:19" ht="15.75" thickBot="1" x14ac:dyDescent="0.3">
      <c r="C310" s="2" t="s">
        <v>1</v>
      </c>
      <c r="D310" s="161" t="s">
        <v>8</v>
      </c>
      <c r="E310" s="162"/>
      <c r="F310" s="161" t="s">
        <v>9</v>
      </c>
      <c r="G310" s="163"/>
      <c r="H310" s="163"/>
      <c r="I310" s="163"/>
      <c r="J310" s="163"/>
      <c r="K310" s="163"/>
      <c r="L310" s="163"/>
      <c r="M310" s="163"/>
      <c r="N310" s="162"/>
      <c r="O310" s="22" t="s">
        <v>10</v>
      </c>
      <c r="P310" s="161" t="s">
        <v>11</v>
      </c>
      <c r="Q310" s="162"/>
      <c r="R310" s="161" t="s">
        <v>12</v>
      </c>
      <c r="S310" s="162"/>
    </row>
    <row r="311" spans="3:19" ht="15.75" thickBot="1" x14ac:dyDescent="0.3">
      <c r="C311" s="6">
        <v>393</v>
      </c>
      <c r="D311" s="164">
        <v>45727</v>
      </c>
      <c r="E311" s="154"/>
      <c r="F311" s="152" t="s">
        <v>377</v>
      </c>
      <c r="G311" s="153"/>
      <c r="H311" s="153"/>
      <c r="I311" s="153"/>
      <c r="J311" s="153"/>
      <c r="K311" s="153"/>
      <c r="L311" s="153"/>
      <c r="M311" s="153"/>
      <c r="N311" s="154"/>
      <c r="O311" s="19">
        <v>5</v>
      </c>
      <c r="P311" s="49" t="s">
        <v>13</v>
      </c>
      <c r="Q311" t="s">
        <v>14</v>
      </c>
      <c r="R311" s="152" t="s">
        <v>275</v>
      </c>
      <c r="S311" s="154"/>
    </row>
    <row r="312" spans="3:19" ht="15.75" thickBot="1" x14ac:dyDescent="0.3">
      <c r="C312" s="161"/>
      <c r="D312" s="163"/>
      <c r="E312" s="162"/>
      <c r="F312" s="161" t="s">
        <v>130</v>
      </c>
      <c r="G312" s="163"/>
      <c r="H312" s="163"/>
      <c r="I312" s="163"/>
      <c r="J312" s="163"/>
      <c r="K312" s="163"/>
      <c r="L312" s="163"/>
      <c r="M312" s="163"/>
      <c r="N312" s="162"/>
      <c r="O312" s="22"/>
      <c r="P312" s="161"/>
      <c r="Q312" s="162"/>
      <c r="R312" s="161"/>
      <c r="S312" s="162"/>
    </row>
    <row r="313" spans="3:19" ht="15.75" thickBot="1" x14ac:dyDescent="0.3">
      <c r="C313" s="152"/>
      <c r="D313" s="153"/>
      <c r="E313" s="154"/>
      <c r="F313" s="152">
        <v>327</v>
      </c>
      <c r="G313" s="153"/>
      <c r="H313" s="153"/>
      <c r="I313" s="153"/>
      <c r="J313" s="153"/>
      <c r="K313" s="153"/>
      <c r="L313" s="153"/>
      <c r="M313" s="153"/>
      <c r="N313" s="154"/>
      <c r="O313" s="19"/>
      <c r="Q313" s="6"/>
      <c r="R313" s="152"/>
      <c r="S313" s="154"/>
    </row>
    <row r="314" spans="3:19" ht="15.75" thickBot="1" x14ac:dyDescent="0.3">
      <c r="D314" s="155" t="s">
        <v>17</v>
      </c>
      <c r="E314" s="156"/>
      <c r="F314" s="156"/>
      <c r="G314" s="157"/>
      <c r="H314" s="155" t="s">
        <v>18</v>
      </c>
      <c r="I314" s="156"/>
      <c r="J314" s="156"/>
      <c r="K314" s="156"/>
      <c r="L314" s="157"/>
      <c r="M314" s="156" t="s">
        <v>19</v>
      </c>
      <c r="N314" s="157"/>
      <c r="O314" s="44" t="s">
        <v>20</v>
      </c>
      <c r="P314" s="45" t="s">
        <v>21</v>
      </c>
      <c r="Q314" s="158" t="s">
        <v>22</v>
      </c>
      <c r="R314" s="159"/>
    </row>
    <row r="315" spans="3:19" ht="15.75" thickBot="1" x14ac:dyDescent="0.3">
      <c r="D315" s="155" t="s">
        <v>215</v>
      </c>
      <c r="E315" s="156"/>
      <c r="F315" s="156"/>
      <c r="G315" s="157"/>
      <c r="H315" s="155" t="s">
        <v>226</v>
      </c>
      <c r="I315" s="156"/>
      <c r="J315" s="156"/>
      <c r="K315" s="156"/>
      <c r="L315" s="157"/>
      <c r="M315" s="156">
        <v>10</v>
      </c>
      <c r="N315" s="157"/>
      <c r="O315" s="44">
        <v>23</v>
      </c>
      <c r="P315" s="45">
        <f>O315*M315</f>
        <v>230</v>
      </c>
      <c r="Q315" s="172">
        <f>SUM(P315:P315)</f>
        <v>230</v>
      </c>
      <c r="R315" s="173"/>
    </row>
    <row r="317" spans="3:19" ht="3" customHeight="1" x14ac:dyDescent="0.25">
      <c r="C317" s="20"/>
      <c r="D317" s="13"/>
      <c r="E317" s="13"/>
      <c r="F317" s="13"/>
      <c r="G317" s="13"/>
      <c r="H317" s="13"/>
      <c r="I317" s="13"/>
      <c r="J317" s="13"/>
      <c r="L317" s="13"/>
      <c r="M317" s="13"/>
      <c r="N317" s="13"/>
      <c r="O317" s="13"/>
      <c r="P317" s="13"/>
      <c r="Q317" s="13"/>
      <c r="R317" s="13"/>
      <c r="S317" s="21"/>
    </row>
    <row r="318" spans="3:19" ht="15.75" thickBot="1" x14ac:dyDescent="0.3"/>
    <row r="319" spans="3:19" ht="15.75" thickBot="1" x14ac:dyDescent="0.3">
      <c r="C319" s="2" t="s">
        <v>1</v>
      </c>
      <c r="D319" s="161" t="s">
        <v>8</v>
      </c>
      <c r="E319" s="162"/>
      <c r="F319" s="161" t="s">
        <v>9</v>
      </c>
      <c r="G319" s="163"/>
      <c r="H319" s="163"/>
      <c r="I319" s="163"/>
      <c r="J319" s="163"/>
      <c r="K319" s="163"/>
      <c r="L319" s="163"/>
      <c r="M319" s="162"/>
      <c r="N319" s="22" t="s">
        <v>10</v>
      </c>
      <c r="O319" s="161" t="s">
        <v>11</v>
      </c>
      <c r="P319" s="162"/>
      <c r="Q319" s="161" t="s">
        <v>12</v>
      </c>
      <c r="R319" s="163"/>
      <c r="S319" s="162"/>
    </row>
    <row r="320" spans="3:19" ht="15.75" thickBot="1" x14ac:dyDescent="0.3">
      <c r="C320" s="6">
        <v>401</v>
      </c>
      <c r="D320" s="164">
        <v>45730</v>
      </c>
      <c r="E320" s="154"/>
      <c r="F320" s="152" t="s">
        <v>151</v>
      </c>
      <c r="G320" s="153"/>
      <c r="H320" s="153"/>
      <c r="I320" s="153"/>
      <c r="J320" s="153"/>
      <c r="K320" s="153"/>
      <c r="L320" s="153"/>
      <c r="M320" s="154"/>
      <c r="N320" s="19">
        <v>1</v>
      </c>
      <c r="O320" s="6" t="s">
        <v>13</v>
      </c>
      <c r="P320" s="77" t="s">
        <v>14</v>
      </c>
      <c r="Q320" s="152" t="s">
        <v>172</v>
      </c>
      <c r="R320" s="153"/>
      <c r="S320" s="154"/>
    </row>
    <row r="321" spans="3:19" ht="15.75" thickBot="1" x14ac:dyDescent="0.3">
      <c r="C321" s="161" t="s">
        <v>15</v>
      </c>
      <c r="D321" s="163"/>
      <c r="E321" s="163"/>
      <c r="F321" s="163"/>
      <c r="G321" s="163"/>
      <c r="H321" s="163"/>
      <c r="I321" s="162"/>
      <c r="J321" s="50"/>
      <c r="K321" s="23"/>
      <c r="L321" s="161" t="s">
        <v>7</v>
      </c>
      <c r="M321" s="163"/>
      <c r="N321" s="163"/>
      <c r="O321" s="163"/>
      <c r="P321" s="163"/>
      <c r="Q321" s="163"/>
      <c r="R321" s="163"/>
      <c r="S321" s="162"/>
    </row>
    <row r="322" spans="3:19" ht="15.75" thickBot="1" x14ac:dyDescent="0.3">
      <c r="C322" s="174" t="s">
        <v>16</v>
      </c>
      <c r="D322" s="175"/>
      <c r="E322" s="7" t="s">
        <v>84</v>
      </c>
      <c r="F322" s="7" t="s">
        <v>85</v>
      </c>
      <c r="G322" s="7" t="s">
        <v>86</v>
      </c>
      <c r="H322" s="7" t="s">
        <v>87</v>
      </c>
      <c r="I322" s="8" t="s">
        <v>88</v>
      </c>
      <c r="J322" s="43"/>
      <c r="K322" s="52"/>
      <c r="L322" s="176" t="s">
        <v>17</v>
      </c>
      <c r="M322" s="177"/>
      <c r="N322" s="42" t="s">
        <v>18</v>
      </c>
      <c r="O322" s="34" t="s">
        <v>19</v>
      </c>
      <c r="P322" s="42" t="s">
        <v>20</v>
      </c>
      <c r="Q322" s="34" t="s">
        <v>21</v>
      </c>
      <c r="R322" s="158" t="s">
        <v>22</v>
      </c>
      <c r="S322" s="159"/>
    </row>
    <row r="323" spans="3:19" x14ac:dyDescent="0.25">
      <c r="C323" s="85"/>
      <c r="D323" s="84"/>
      <c r="E323" s="10"/>
      <c r="F323" s="11"/>
      <c r="G323" s="11"/>
      <c r="H323" s="11"/>
      <c r="I323" s="12"/>
      <c r="L323" s="165" t="s">
        <v>174</v>
      </c>
      <c r="M323" s="145"/>
      <c r="N323" s="83" t="s">
        <v>152</v>
      </c>
      <c r="O323" s="83">
        <v>136</v>
      </c>
      <c r="P323" s="83">
        <f>2650/O323</f>
        <v>19.485294117647058</v>
      </c>
      <c r="Q323" s="84">
        <f>P323*O323</f>
        <v>2650</v>
      </c>
      <c r="R323" s="168">
        <f>SUM(Q323:Q326)</f>
        <v>10480</v>
      </c>
      <c r="S323" s="169"/>
    </row>
    <row r="324" spans="3:19" x14ac:dyDescent="0.25">
      <c r="C324" s="86"/>
      <c r="D324" s="12"/>
      <c r="E324" s="10"/>
      <c r="F324" s="11"/>
      <c r="G324" s="11"/>
      <c r="H324" s="11"/>
      <c r="I324" s="12"/>
      <c r="L324" s="166" t="s">
        <v>228</v>
      </c>
      <c r="M324" s="167"/>
      <c r="N324" s="11" t="s">
        <v>152</v>
      </c>
      <c r="O324" s="11">
        <v>200</v>
      </c>
      <c r="P324" s="11">
        <v>4.2</v>
      </c>
      <c r="Q324" s="12">
        <f>P324*O324</f>
        <v>840</v>
      </c>
      <c r="R324" s="170"/>
      <c r="S324" s="171"/>
    </row>
    <row r="325" spans="3:19" x14ac:dyDescent="0.25">
      <c r="C325" s="86"/>
      <c r="D325" s="12"/>
      <c r="E325" s="10"/>
      <c r="F325" s="11"/>
      <c r="G325" s="11"/>
      <c r="H325" s="11"/>
      <c r="I325" s="12"/>
      <c r="L325" s="166" t="s">
        <v>215</v>
      </c>
      <c r="M325" s="167"/>
      <c r="N325" s="11" t="s">
        <v>152</v>
      </c>
      <c r="O325" s="11">
        <v>200</v>
      </c>
      <c r="P325" s="11">
        <v>23.3</v>
      </c>
      <c r="Q325" s="12">
        <f>P325*O325</f>
        <v>4660</v>
      </c>
      <c r="R325" s="170"/>
      <c r="S325" s="171"/>
    </row>
    <row r="326" spans="3:19" x14ac:dyDescent="0.25">
      <c r="C326" s="86"/>
      <c r="D326" s="12"/>
      <c r="E326" s="10"/>
      <c r="F326" s="11"/>
      <c r="G326" s="11"/>
      <c r="H326" s="11"/>
      <c r="I326" s="12"/>
      <c r="L326" s="166"/>
      <c r="M326" s="167"/>
      <c r="N326" s="11" t="s">
        <v>216</v>
      </c>
      <c r="O326" s="11">
        <v>100</v>
      </c>
      <c r="P326" s="11">
        <v>23.3</v>
      </c>
      <c r="Q326" s="12">
        <f t="shared" ref="Q326" si="21">P326*O326</f>
        <v>2330</v>
      </c>
      <c r="R326" s="170"/>
      <c r="S326" s="171"/>
    </row>
    <row r="328" spans="3:19" ht="3" customHeight="1" x14ac:dyDescent="0.25">
      <c r="C328" s="20"/>
      <c r="D328" s="13"/>
      <c r="E328" s="13"/>
      <c r="F328" s="13"/>
      <c r="G328" s="13"/>
      <c r="H328" s="13"/>
      <c r="I328" s="13"/>
      <c r="J328" s="13"/>
      <c r="L328" s="13"/>
      <c r="M328" s="13"/>
      <c r="N328" s="13"/>
      <c r="O328" s="13"/>
      <c r="P328" s="13"/>
      <c r="Q328" s="13"/>
      <c r="R328" s="13"/>
      <c r="S328" s="21"/>
    </row>
    <row r="329" spans="3:19" ht="15.75" thickBot="1" x14ac:dyDescent="0.3"/>
    <row r="330" spans="3:19" ht="15.75" thickBot="1" x14ac:dyDescent="0.3">
      <c r="C330" s="2" t="s">
        <v>1</v>
      </c>
      <c r="D330" s="161" t="s">
        <v>8</v>
      </c>
      <c r="E330" s="162"/>
      <c r="F330" s="161" t="s">
        <v>9</v>
      </c>
      <c r="G330" s="163"/>
      <c r="H330" s="163"/>
      <c r="I330" s="163"/>
      <c r="J330" s="163"/>
      <c r="K330" s="163"/>
      <c r="L330" s="163"/>
      <c r="M330" s="163"/>
      <c r="N330" s="162"/>
      <c r="O330" s="22" t="s">
        <v>10</v>
      </c>
      <c r="P330" s="161" t="s">
        <v>11</v>
      </c>
      <c r="Q330" s="162"/>
      <c r="R330" s="161" t="s">
        <v>12</v>
      </c>
      <c r="S330" s="162"/>
    </row>
    <row r="331" spans="3:19" ht="15.75" thickBot="1" x14ac:dyDescent="0.3">
      <c r="C331" s="6">
        <v>404</v>
      </c>
      <c r="D331" s="164">
        <v>45732</v>
      </c>
      <c r="E331" s="154"/>
      <c r="F331" s="152" t="s">
        <v>393</v>
      </c>
      <c r="G331" s="153"/>
      <c r="H331" s="153"/>
      <c r="I331" s="153"/>
      <c r="J331" s="153"/>
      <c r="K331" s="153"/>
      <c r="L331" s="153"/>
      <c r="M331" s="153"/>
      <c r="N331" s="154"/>
      <c r="O331" s="19"/>
      <c r="P331" t="s">
        <v>13</v>
      </c>
      <c r="Q331" s="49" t="s">
        <v>14</v>
      </c>
      <c r="R331" s="152" t="s">
        <v>172</v>
      </c>
      <c r="S331" s="154"/>
    </row>
    <row r="332" spans="3:19" ht="15.75" thickBot="1" x14ac:dyDescent="0.3">
      <c r="C332" s="161"/>
      <c r="D332" s="163"/>
      <c r="E332" s="162"/>
      <c r="F332" s="161" t="s">
        <v>130</v>
      </c>
      <c r="G332" s="163"/>
      <c r="H332" s="163"/>
      <c r="I332" s="163"/>
      <c r="J332" s="163"/>
      <c r="K332" s="163"/>
      <c r="L332" s="163"/>
      <c r="M332" s="163"/>
      <c r="N332" s="162"/>
      <c r="O332" s="22"/>
      <c r="P332" s="161"/>
      <c r="Q332" s="162"/>
      <c r="R332" s="161"/>
      <c r="S332" s="162"/>
    </row>
    <row r="333" spans="3:19" ht="15.75" thickBot="1" x14ac:dyDescent="0.3">
      <c r="C333" s="152"/>
      <c r="D333" s="153"/>
      <c r="E333" s="154"/>
      <c r="F333" s="152"/>
      <c r="G333" s="153"/>
      <c r="H333" s="153"/>
      <c r="I333" s="153"/>
      <c r="J333" s="153"/>
      <c r="K333" s="153"/>
      <c r="L333" s="153"/>
      <c r="M333" s="153"/>
      <c r="N333" s="154"/>
      <c r="O333" s="19"/>
      <c r="Q333" s="6"/>
      <c r="R333" s="152"/>
      <c r="S333" s="154"/>
    </row>
    <row r="334" spans="3:19" ht="15.75" thickBot="1" x14ac:dyDescent="0.3">
      <c r="D334" s="155" t="s">
        <v>17</v>
      </c>
      <c r="E334" s="156"/>
      <c r="F334" s="156"/>
      <c r="G334" s="157"/>
      <c r="H334" s="155" t="s">
        <v>18</v>
      </c>
      <c r="I334" s="156"/>
      <c r="J334" s="156"/>
      <c r="K334" s="156"/>
      <c r="L334" s="157"/>
      <c r="M334" s="156" t="s">
        <v>19</v>
      </c>
      <c r="N334" s="157"/>
      <c r="O334" s="44" t="s">
        <v>20</v>
      </c>
      <c r="P334" s="45" t="s">
        <v>21</v>
      </c>
      <c r="Q334" s="158" t="s">
        <v>22</v>
      </c>
      <c r="R334" s="159"/>
    </row>
    <row r="335" spans="3:19" ht="15.75" thickBot="1" x14ac:dyDescent="0.3">
      <c r="D335" s="155" t="s">
        <v>394</v>
      </c>
      <c r="E335" s="156"/>
      <c r="F335" s="156"/>
      <c r="G335" s="157"/>
      <c r="H335" s="155" t="s">
        <v>395</v>
      </c>
      <c r="I335" s="156"/>
      <c r="J335" s="156"/>
      <c r="K335" s="156"/>
      <c r="L335" s="157"/>
      <c r="M335" s="156">
        <v>1</v>
      </c>
      <c r="N335" s="157"/>
      <c r="O335" s="44">
        <v>600</v>
      </c>
      <c r="P335" s="45">
        <f>O335*M335</f>
        <v>600</v>
      </c>
      <c r="Q335" s="168">
        <f>SUM(P335:P339)</f>
        <v>688</v>
      </c>
      <c r="R335" s="169"/>
    </row>
    <row r="336" spans="3:19" ht="15.75" thickBot="1" x14ac:dyDescent="0.3">
      <c r="D336" s="155" t="s">
        <v>316</v>
      </c>
      <c r="E336" s="156"/>
      <c r="F336" s="156"/>
      <c r="G336" s="157"/>
      <c r="H336" s="155" t="s">
        <v>396</v>
      </c>
      <c r="I336" s="156"/>
      <c r="J336" s="156"/>
      <c r="K336" s="156"/>
      <c r="L336" s="157"/>
      <c r="M336" s="156">
        <v>1</v>
      </c>
      <c r="N336" s="157"/>
      <c r="O336" s="44">
        <v>10</v>
      </c>
      <c r="P336" s="45">
        <f t="shared" ref="P336:P339" si="22">O336*M336</f>
        <v>10</v>
      </c>
      <c r="Q336" s="170"/>
      <c r="R336" s="171"/>
    </row>
    <row r="337" spans="3:19" ht="15.75" thickBot="1" x14ac:dyDescent="0.3">
      <c r="D337" s="155" t="s">
        <v>397</v>
      </c>
      <c r="E337" s="156"/>
      <c r="F337" s="156"/>
      <c r="G337" s="157"/>
      <c r="H337" s="155" t="s">
        <v>398</v>
      </c>
      <c r="I337" s="156"/>
      <c r="J337" s="156"/>
      <c r="K337" s="156"/>
      <c r="L337" s="157"/>
      <c r="M337" s="156">
        <v>2</v>
      </c>
      <c r="N337" s="157"/>
      <c r="O337" s="44">
        <v>9</v>
      </c>
      <c r="P337" s="45">
        <f t="shared" si="22"/>
        <v>18</v>
      </c>
      <c r="Q337" s="170"/>
      <c r="R337" s="171"/>
    </row>
    <row r="338" spans="3:19" ht="15.75" thickBot="1" x14ac:dyDescent="0.3">
      <c r="D338" s="155" t="s">
        <v>397</v>
      </c>
      <c r="E338" s="156"/>
      <c r="F338" s="156"/>
      <c r="G338" s="157"/>
      <c r="H338" s="155" t="s">
        <v>399</v>
      </c>
      <c r="I338" s="156"/>
      <c r="J338" s="156"/>
      <c r="K338" s="156"/>
      <c r="L338" s="157"/>
      <c r="M338" s="156">
        <v>1</v>
      </c>
      <c r="N338" s="157"/>
      <c r="O338" s="44">
        <v>10</v>
      </c>
      <c r="P338" s="45">
        <f t="shared" si="22"/>
        <v>10</v>
      </c>
      <c r="Q338" s="170"/>
      <c r="R338" s="171"/>
    </row>
    <row r="339" spans="3:19" ht="15.75" thickBot="1" x14ac:dyDescent="0.3">
      <c r="D339" s="155" t="s">
        <v>400</v>
      </c>
      <c r="E339" s="156"/>
      <c r="F339" s="156"/>
      <c r="G339" s="157"/>
      <c r="H339" s="155" t="s">
        <v>401</v>
      </c>
      <c r="I339" s="156"/>
      <c r="J339" s="156"/>
      <c r="K339" s="156"/>
      <c r="L339" s="157"/>
      <c r="M339" s="156">
        <v>1</v>
      </c>
      <c r="N339" s="157"/>
      <c r="O339" s="44">
        <v>50</v>
      </c>
      <c r="P339" s="45">
        <f t="shared" si="22"/>
        <v>50</v>
      </c>
      <c r="Q339" s="181"/>
      <c r="R339" s="182"/>
    </row>
    <row r="341" spans="3:19" ht="3" customHeight="1" x14ac:dyDescent="0.25">
      <c r="C341" s="20"/>
      <c r="D341" s="13"/>
      <c r="E341" s="13"/>
      <c r="F341" s="13"/>
      <c r="G341" s="13"/>
      <c r="H341" s="13"/>
      <c r="I341" s="13"/>
      <c r="J341" s="13"/>
      <c r="L341" s="13"/>
      <c r="M341" s="13"/>
      <c r="N341" s="13"/>
      <c r="O341" s="13"/>
      <c r="P341" s="13"/>
      <c r="Q341" s="13"/>
      <c r="R341" s="13"/>
      <c r="S341" s="21"/>
    </row>
    <row r="342" spans="3:19" ht="15.75" thickBot="1" x14ac:dyDescent="0.3"/>
    <row r="343" spans="3:19" ht="15.75" thickBot="1" x14ac:dyDescent="0.3">
      <c r="C343" s="2" t="s">
        <v>1</v>
      </c>
      <c r="D343" s="161" t="s">
        <v>8</v>
      </c>
      <c r="E343" s="162"/>
      <c r="F343" s="161" t="s">
        <v>9</v>
      </c>
      <c r="G343" s="163"/>
      <c r="H343" s="163"/>
      <c r="I343" s="163"/>
      <c r="J343" s="163"/>
      <c r="K343" s="163"/>
      <c r="L343" s="163"/>
      <c r="M343" s="163"/>
      <c r="N343" s="162"/>
      <c r="O343" s="22" t="s">
        <v>10</v>
      </c>
      <c r="P343" s="161" t="s">
        <v>11</v>
      </c>
      <c r="Q343" s="162"/>
      <c r="R343" s="161" t="s">
        <v>12</v>
      </c>
      <c r="S343" s="162"/>
    </row>
    <row r="344" spans="3:19" ht="15.75" thickBot="1" x14ac:dyDescent="0.3">
      <c r="C344" s="6">
        <v>411</v>
      </c>
      <c r="D344" s="164">
        <v>45733</v>
      </c>
      <c r="E344" s="154"/>
      <c r="F344" s="152"/>
      <c r="G344" s="153"/>
      <c r="H344" s="153"/>
      <c r="I344" s="153"/>
      <c r="J344" s="153"/>
      <c r="K344" s="153"/>
      <c r="L344" s="153"/>
      <c r="M344" s="153"/>
      <c r="N344" s="154"/>
      <c r="O344" s="19"/>
      <c r="P344" s="49" t="s">
        <v>13</v>
      </c>
      <c r="Q344" t="s">
        <v>14</v>
      </c>
      <c r="R344" s="152" t="s">
        <v>405</v>
      </c>
      <c r="S344" s="154"/>
    </row>
    <row r="345" spans="3:19" ht="15.75" thickBot="1" x14ac:dyDescent="0.3">
      <c r="C345" s="161"/>
      <c r="D345" s="163"/>
      <c r="E345" s="162"/>
      <c r="F345" s="161" t="s">
        <v>130</v>
      </c>
      <c r="G345" s="163"/>
      <c r="H345" s="163"/>
      <c r="I345" s="163"/>
      <c r="J345" s="163"/>
      <c r="K345" s="163"/>
      <c r="L345" s="163"/>
      <c r="M345" s="163"/>
      <c r="N345" s="162"/>
      <c r="O345" s="22"/>
      <c r="P345" s="161"/>
      <c r="Q345" s="162"/>
      <c r="R345" s="161"/>
      <c r="S345" s="162"/>
    </row>
    <row r="346" spans="3:19" ht="15.75" thickBot="1" x14ac:dyDescent="0.3">
      <c r="C346" s="152"/>
      <c r="D346" s="153"/>
      <c r="E346" s="154"/>
      <c r="F346" s="152"/>
      <c r="G346" s="153"/>
      <c r="H346" s="153"/>
      <c r="I346" s="153"/>
      <c r="J346" s="153"/>
      <c r="K346" s="153"/>
      <c r="L346" s="153"/>
      <c r="M346" s="153"/>
      <c r="N346" s="154"/>
      <c r="O346" s="19"/>
      <c r="Q346" s="6"/>
      <c r="R346" s="152"/>
      <c r="S346" s="154"/>
    </row>
    <row r="347" spans="3:19" ht="15.75" thickBot="1" x14ac:dyDescent="0.3">
      <c r="D347" s="155" t="s">
        <v>17</v>
      </c>
      <c r="E347" s="156"/>
      <c r="F347" s="156"/>
      <c r="G347" s="157"/>
      <c r="H347" s="155" t="s">
        <v>18</v>
      </c>
      <c r="I347" s="156"/>
      <c r="J347" s="156"/>
      <c r="K347" s="156"/>
      <c r="L347" s="157"/>
      <c r="M347" s="156" t="s">
        <v>19</v>
      </c>
      <c r="N347" s="157"/>
      <c r="O347" s="44" t="s">
        <v>20</v>
      </c>
      <c r="P347" s="45" t="s">
        <v>21</v>
      </c>
      <c r="Q347" s="158" t="s">
        <v>22</v>
      </c>
      <c r="R347" s="159"/>
    </row>
    <row r="348" spans="3:19" ht="15.75" thickBot="1" x14ac:dyDescent="0.3">
      <c r="D348" s="155" t="s">
        <v>215</v>
      </c>
      <c r="E348" s="156"/>
      <c r="F348" s="156"/>
      <c r="G348" s="157"/>
      <c r="H348" s="155" t="s">
        <v>366</v>
      </c>
      <c r="I348" s="156"/>
      <c r="J348" s="156"/>
      <c r="K348" s="156"/>
      <c r="L348" s="157"/>
      <c r="M348" s="156">
        <v>1</v>
      </c>
      <c r="N348" s="157"/>
      <c r="O348" s="44">
        <v>25</v>
      </c>
      <c r="P348" s="45">
        <f>O348*M348</f>
        <v>25</v>
      </c>
      <c r="Q348" s="160">
        <f>P348</f>
        <v>25</v>
      </c>
      <c r="R348" s="159"/>
    </row>
    <row r="350" spans="3:19" ht="3" customHeight="1" x14ac:dyDescent="0.25">
      <c r="C350" s="20"/>
      <c r="D350" s="13"/>
      <c r="E350" s="13"/>
      <c r="F350" s="13"/>
      <c r="G350" s="13"/>
      <c r="H350" s="13"/>
      <c r="I350" s="13"/>
      <c r="J350" s="13"/>
      <c r="L350" s="13"/>
      <c r="M350" s="13"/>
      <c r="N350" s="13"/>
      <c r="O350" s="13"/>
      <c r="P350" s="13"/>
      <c r="Q350" s="13"/>
      <c r="R350" s="13"/>
      <c r="S350" s="21"/>
    </row>
    <row r="351" spans="3:19" ht="15.75" thickBot="1" x14ac:dyDescent="0.3"/>
    <row r="352" spans="3:19" ht="15.75" thickBot="1" x14ac:dyDescent="0.3">
      <c r="C352" s="2" t="s">
        <v>1</v>
      </c>
      <c r="D352" s="161" t="s">
        <v>8</v>
      </c>
      <c r="E352" s="162"/>
      <c r="F352" s="161" t="s">
        <v>9</v>
      </c>
      <c r="G352" s="163"/>
      <c r="H352" s="163"/>
      <c r="I352" s="163"/>
      <c r="J352" s="163"/>
      <c r="K352" s="163"/>
      <c r="L352" s="163"/>
      <c r="M352" s="163"/>
      <c r="N352" s="162"/>
      <c r="O352" s="22" t="s">
        <v>10</v>
      </c>
      <c r="P352" s="161" t="s">
        <v>11</v>
      </c>
      <c r="Q352" s="162"/>
      <c r="R352" s="161" t="s">
        <v>12</v>
      </c>
      <c r="S352" s="162"/>
    </row>
    <row r="353" spans="3:19" ht="15.75" thickBot="1" x14ac:dyDescent="0.3">
      <c r="C353" s="6">
        <v>451</v>
      </c>
      <c r="D353" s="164">
        <v>45748</v>
      </c>
      <c r="E353" s="154"/>
      <c r="F353" s="152" t="s">
        <v>151</v>
      </c>
      <c r="G353" s="153"/>
      <c r="H353" s="153"/>
      <c r="I353" s="153"/>
      <c r="J353" s="153"/>
      <c r="K353" s="153"/>
      <c r="L353" s="153"/>
      <c r="M353" s="153"/>
      <c r="N353" s="154"/>
      <c r="O353" s="19"/>
      <c r="P353" t="s">
        <v>13</v>
      </c>
      <c r="Q353" s="49" t="s">
        <v>14</v>
      </c>
      <c r="R353" s="152" t="s">
        <v>172</v>
      </c>
      <c r="S353" s="154"/>
    </row>
    <row r="354" spans="3:19" ht="15.75" thickBot="1" x14ac:dyDescent="0.3">
      <c r="C354" s="161"/>
      <c r="D354" s="163"/>
      <c r="E354" s="162"/>
      <c r="F354" s="161" t="s">
        <v>130</v>
      </c>
      <c r="G354" s="163"/>
      <c r="H354" s="163"/>
      <c r="I354" s="163"/>
      <c r="J354" s="163"/>
      <c r="K354" s="163"/>
      <c r="L354" s="163"/>
      <c r="M354" s="163"/>
      <c r="N354" s="162"/>
      <c r="O354" s="22"/>
      <c r="P354" s="161"/>
      <c r="Q354" s="162"/>
      <c r="R354" s="161"/>
      <c r="S354" s="162"/>
    </row>
    <row r="355" spans="3:19" ht="15.75" thickBot="1" x14ac:dyDescent="0.3">
      <c r="C355" s="152"/>
      <c r="D355" s="153"/>
      <c r="E355" s="154"/>
      <c r="F355" s="152"/>
      <c r="G355" s="153"/>
      <c r="H355" s="153"/>
      <c r="I355" s="153"/>
      <c r="J355" s="153"/>
      <c r="K355" s="153"/>
      <c r="L355" s="153"/>
      <c r="M355" s="153"/>
      <c r="N355" s="154"/>
      <c r="O355" s="19"/>
      <c r="Q355" s="6"/>
      <c r="R355" s="152"/>
      <c r="S355" s="154"/>
    </row>
    <row r="356" spans="3:19" ht="15.75" thickBot="1" x14ac:dyDescent="0.3">
      <c r="D356" s="155" t="s">
        <v>17</v>
      </c>
      <c r="E356" s="156"/>
      <c r="F356" s="156"/>
      <c r="G356" s="157"/>
      <c r="H356" s="155" t="s">
        <v>18</v>
      </c>
      <c r="I356" s="156"/>
      <c r="J356" s="156"/>
      <c r="K356" s="156"/>
      <c r="L356" s="157"/>
      <c r="M356" s="156" t="s">
        <v>19</v>
      </c>
      <c r="N356" s="157"/>
      <c r="O356" s="44" t="s">
        <v>20</v>
      </c>
      <c r="P356" s="45" t="s">
        <v>21</v>
      </c>
      <c r="Q356" s="158" t="s">
        <v>22</v>
      </c>
      <c r="R356" s="159"/>
    </row>
    <row r="357" spans="3:19" ht="15.75" thickBot="1" x14ac:dyDescent="0.3">
      <c r="D357" s="155" t="s">
        <v>422</v>
      </c>
      <c r="E357" s="156"/>
      <c r="F357" s="156"/>
      <c r="G357" s="157"/>
      <c r="H357" s="155" t="s">
        <v>421</v>
      </c>
      <c r="I357" s="156"/>
      <c r="J357" s="156"/>
      <c r="K357" s="156"/>
      <c r="L357" s="157"/>
      <c r="M357" s="156">
        <v>1</v>
      </c>
      <c r="N357" s="157"/>
      <c r="O357" s="44">
        <v>297</v>
      </c>
      <c r="P357" s="45">
        <f>O357*M357</f>
        <v>297</v>
      </c>
      <c r="Q357" s="168">
        <f>SUM(P357:P359)</f>
        <v>440.63</v>
      </c>
      <c r="R357" s="169"/>
    </row>
    <row r="358" spans="3:19" ht="15.75" thickBot="1" x14ac:dyDescent="0.3">
      <c r="D358" s="155" t="s">
        <v>212</v>
      </c>
      <c r="E358" s="156"/>
      <c r="F358" s="156"/>
      <c r="G358" s="157"/>
      <c r="H358" s="155"/>
      <c r="I358" s="156"/>
      <c r="J358" s="156"/>
      <c r="K358" s="156"/>
      <c r="L358" s="157"/>
      <c r="M358" s="156">
        <v>69.63</v>
      </c>
      <c r="N358" s="157"/>
      <c r="O358" s="44">
        <v>1</v>
      </c>
      <c r="P358" s="45">
        <f>O358*M358</f>
        <v>69.63</v>
      </c>
      <c r="Q358" s="170"/>
      <c r="R358" s="171"/>
    </row>
    <row r="359" spans="3:19" ht="15.75" thickBot="1" x14ac:dyDescent="0.3">
      <c r="D359" s="155" t="s">
        <v>422</v>
      </c>
      <c r="E359" s="156"/>
      <c r="F359" s="156"/>
      <c r="G359" s="157"/>
      <c r="H359" s="155" t="s">
        <v>219</v>
      </c>
      <c r="I359" s="156"/>
      <c r="J359" s="156"/>
      <c r="K359" s="156"/>
      <c r="L359" s="157"/>
      <c r="M359" s="155">
        <v>1</v>
      </c>
      <c r="N359" s="157"/>
      <c r="O359" s="44">
        <v>74</v>
      </c>
      <c r="P359" s="45">
        <f t="shared" ref="P359" si="23">O359*M359</f>
        <v>74</v>
      </c>
      <c r="Q359" s="181"/>
      <c r="R359" s="182"/>
    </row>
    <row r="361" spans="3:19" ht="3" customHeight="1" x14ac:dyDescent="0.25">
      <c r="C361" s="20"/>
      <c r="D361" s="13"/>
      <c r="E361" s="13"/>
      <c r="F361" s="13"/>
      <c r="G361" s="13"/>
      <c r="H361" s="13"/>
      <c r="I361" s="13"/>
      <c r="J361" s="13"/>
      <c r="L361" s="13"/>
      <c r="M361" s="13"/>
      <c r="N361" s="13"/>
      <c r="O361" s="13"/>
      <c r="P361" s="13"/>
      <c r="Q361" s="13"/>
      <c r="R361" s="13"/>
      <c r="S361" s="21"/>
    </row>
    <row r="362" spans="3:19" ht="15.75" thickBot="1" x14ac:dyDescent="0.3"/>
    <row r="363" spans="3:19" ht="15.75" thickBot="1" x14ac:dyDescent="0.3">
      <c r="C363" s="2" t="s">
        <v>1</v>
      </c>
      <c r="D363" s="161" t="s">
        <v>8</v>
      </c>
      <c r="E363" s="162"/>
      <c r="F363" s="161" t="s">
        <v>9</v>
      </c>
      <c r="G363" s="163"/>
      <c r="H363" s="163"/>
      <c r="I363" s="163"/>
      <c r="J363" s="163"/>
      <c r="K363" s="163"/>
      <c r="L363" s="163"/>
      <c r="M363" s="163"/>
      <c r="N363" s="162"/>
      <c r="O363" s="22" t="s">
        <v>10</v>
      </c>
      <c r="P363" s="161" t="s">
        <v>11</v>
      </c>
      <c r="Q363" s="162"/>
      <c r="R363" s="161" t="s">
        <v>12</v>
      </c>
      <c r="S363" s="162"/>
    </row>
    <row r="364" spans="3:19" ht="15.75" thickBot="1" x14ac:dyDescent="0.3">
      <c r="C364" s="6">
        <v>462</v>
      </c>
      <c r="D364" s="164">
        <v>45752</v>
      </c>
      <c r="E364" s="154"/>
      <c r="F364" s="152"/>
      <c r="G364" s="153"/>
      <c r="H364" s="153"/>
      <c r="I364" s="153"/>
      <c r="J364" s="153"/>
      <c r="K364" s="153"/>
      <c r="L364" s="153"/>
      <c r="M364" s="153"/>
      <c r="N364" s="154"/>
      <c r="O364" s="19"/>
      <c r="P364" t="s">
        <v>13</v>
      </c>
      <c r="Q364" s="49" t="s">
        <v>14</v>
      </c>
      <c r="R364" s="152" t="s">
        <v>172</v>
      </c>
      <c r="S364" s="154"/>
    </row>
    <row r="365" spans="3:19" ht="15.75" thickBot="1" x14ac:dyDescent="0.3">
      <c r="C365" s="161"/>
      <c r="D365" s="163"/>
      <c r="E365" s="162"/>
      <c r="F365" s="161" t="s">
        <v>130</v>
      </c>
      <c r="G365" s="163"/>
      <c r="H365" s="163"/>
      <c r="I365" s="163"/>
      <c r="J365" s="163"/>
      <c r="K365" s="163"/>
      <c r="L365" s="163"/>
      <c r="M365" s="163"/>
      <c r="N365" s="162"/>
      <c r="O365" s="22"/>
      <c r="P365" s="161"/>
      <c r="Q365" s="162"/>
      <c r="R365" s="161"/>
      <c r="S365" s="162"/>
    </row>
    <row r="366" spans="3:19" ht="15.75" thickBot="1" x14ac:dyDescent="0.3">
      <c r="C366" s="152"/>
      <c r="D366" s="153"/>
      <c r="E366" s="154"/>
      <c r="F366" s="152"/>
      <c r="G366" s="153"/>
      <c r="H366" s="153"/>
      <c r="I366" s="153"/>
      <c r="J366" s="153"/>
      <c r="K366" s="153"/>
      <c r="L366" s="153"/>
      <c r="M366" s="153"/>
      <c r="N366" s="154"/>
      <c r="O366" s="19"/>
      <c r="Q366" s="6"/>
      <c r="R366" s="152"/>
      <c r="S366" s="154"/>
    </row>
    <row r="367" spans="3:19" ht="15.75" thickBot="1" x14ac:dyDescent="0.3">
      <c r="D367" s="155" t="s">
        <v>17</v>
      </c>
      <c r="E367" s="156"/>
      <c r="F367" s="156"/>
      <c r="G367" s="157"/>
      <c r="H367" s="155" t="s">
        <v>18</v>
      </c>
      <c r="I367" s="156"/>
      <c r="J367" s="156"/>
      <c r="K367" s="156"/>
      <c r="L367" s="157"/>
      <c r="M367" s="156" t="s">
        <v>19</v>
      </c>
      <c r="N367" s="157"/>
      <c r="O367" s="44" t="s">
        <v>20</v>
      </c>
      <c r="P367" s="45" t="s">
        <v>21</v>
      </c>
      <c r="Q367" s="158" t="s">
        <v>22</v>
      </c>
      <c r="R367" s="159"/>
    </row>
    <row r="368" spans="3:19" ht="15.75" thickBot="1" x14ac:dyDescent="0.3">
      <c r="D368" s="155" t="s">
        <v>425</v>
      </c>
      <c r="E368" s="156"/>
      <c r="F368" s="156"/>
      <c r="G368" s="157"/>
      <c r="H368" s="155" t="s">
        <v>269</v>
      </c>
      <c r="I368" s="156"/>
      <c r="J368" s="156"/>
      <c r="K368" s="156"/>
      <c r="L368" s="157"/>
      <c r="M368" s="156">
        <v>2</v>
      </c>
      <c r="N368" s="157"/>
      <c r="O368" s="44">
        <v>16</v>
      </c>
      <c r="P368" s="45">
        <f>O368*M368</f>
        <v>32</v>
      </c>
      <c r="Q368" s="160">
        <f>P368</f>
        <v>32</v>
      </c>
      <c r="R368" s="159"/>
    </row>
    <row r="370" spans="3:19" ht="3" customHeight="1" x14ac:dyDescent="0.25">
      <c r="C370" s="20"/>
      <c r="D370" s="13"/>
      <c r="E370" s="13"/>
      <c r="F370" s="13"/>
      <c r="G370" s="13"/>
      <c r="H370" s="13"/>
      <c r="I370" s="13"/>
      <c r="J370" s="13"/>
      <c r="L370" s="13"/>
      <c r="M370" s="13"/>
      <c r="N370" s="13"/>
      <c r="O370" s="13"/>
      <c r="P370" s="13"/>
      <c r="Q370" s="13"/>
      <c r="R370" s="13"/>
      <c r="S370" s="21"/>
    </row>
    <row r="371" spans="3:19" ht="15.75" thickBot="1" x14ac:dyDescent="0.3"/>
    <row r="372" spans="3:19" ht="15.75" thickBot="1" x14ac:dyDescent="0.3">
      <c r="C372" s="2" t="s">
        <v>1</v>
      </c>
      <c r="D372" s="161" t="s">
        <v>8</v>
      </c>
      <c r="E372" s="162"/>
      <c r="F372" s="161" t="s">
        <v>9</v>
      </c>
      <c r="G372" s="163"/>
      <c r="H372" s="163"/>
      <c r="I372" s="163"/>
      <c r="J372" s="163"/>
      <c r="K372" s="163"/>
      <c r="L372" s="163"/>
      <c r="M372" s="162"/>
      <c r="N372" s="22" t="s">
        <v>10</v>
      </c>
      <c r="O372" s="161" t="s">
        <v>11</v>
      </c>
      <c r="P372" s="162"/>
      <c r="Q372" s="161" t="s">
        <v>12</v>
      </c>
      <c r="R372" s="163"/>
      <c r="S372" s="162"/>
    </row>
    <row r="373" spans="3:19" ht="15.75" thickBot="1" x14ac:dyDescent="0.3">
      <c r="C373" s="6">
        <v>466</v>
      </c>
      <c r="D373" s="164">
        <v>45754</v>
      </c>
      <c r="E373" s="154"/>
      <c r="F373" s="152" t="s">
        <v>427</v>
      </c>
      <c r="G373" s="153"/>
      <c r="H373" s="153"/>
      <c r="I373" s="153"/>
      <c r="J373" s="153"/>
      <c r="K373" s="153"/>
      <c r="L373" s="153"/>
      <c r="M373" s="154"/>
      <c r="N373" s="19"/>
      <c r="O373" s="77" t="s">
        <v>13</v>
      </c>
      <c r="P373" t="s">
        <v>14</v>
      </c>
      <c r="Q373" s="152" t="s">
        <v>428</v>
      </c>
      <c r="R373" s="153"/>
      <c r="S373" s="154"/>
    </row>
    <row r="374" spans="3:19" ht="15.75" thickBot="1" x14ac:dyDescent="0.3">
      <c r="C374" s="161" t="s">
        <v>15</v>
      </c>
      <c r="D374" s="163"/>
      <c r="E374" s="163"/>
      <c r="F374" s="163"/>
      <c r="G374" s="163"/>
      <c r="H374" s="163"/>
      <c r="I374" s="162"/>
      <c r="J374" s="50"/>
      <c r="K374" s="23"/>
      <c r="L374" s="161" t="s">
        <v>7</v>
      </c>
      <c r="M374" s="163"/>
      <c r="N374" s="163"/>
      <c r="O374" s="163"/>
      <c r="P374" s="163"/>
      <c r="Q374" s="163"/>
      <c r="R374" s="163"/>
      <c r="S374" s="162"/>
    </row>
    <row r="375" spans="3:19" ht="15.75" thickBot="1" x14ac:dyDescent="0.3">
      <c r="C375" s="174" t="s">
        <v>16</v>
      </c>
      <c r="D375" s="175"/>
      <c r="E375" s="7" t="s">
        <v>84</v>
      </c>
      <c r="F375" s="7" t="s">
        <v>85</v>
      </c>
      <c r="G375" s="7" t="s">
        <v>86</v>
      </c>
      <c r="H375" s="7" t="s">
        <v>87</v>
      </c>
      <c r="I375" s="8" t="s">
        <v>88</v>
      </c>
      <c r="J375" s="43" t="s">
        <v>429</v>
      </c>
      <c r="K375" s="52"/>
      <c r="L375" s="176" t="s">
        <v>17</v>
      </c>
      <c r="M375" s="177"/>
      <c r="N375" s="42" t="s">
        <v>18</v>
      </c>
      <c r="O375" s="34" t="s">
        <v>19</v>
      </c>
      <c r="P375" s="42" t="s">
        <v>20</v>
      </c>
      <c r="Q375" s="34" t="s">
        <v>21</v>
      </c>
      <c r="R375" s="158" t="s">
        <v>22</v>
      </c>
      <c r="S375" s="159"/>
    </row>
    <row r="376" spans="3:19" ht="15.75" thickBot="1" x14ac:dyDescent="0.3">
      <c r="C376" s="85"/>
      <c r="D376" s="84"/>
      <c r="E376" s="10">
        <v>2</v>
      </c>
      <c r="F376" s="11">
        <v>3</v>
      </c>
      <c r="G376" s="11">
        <v>7</v>
      </c>
      <c r="H376" s="11">
        <v>4</v>
      </c>
      <c r="I376" s="12">
        <v>2</v>
      </c>
      <c r="J376">
        <v>1</v>
      </c>
      <c r="L376" s="165" t="s">
        <v>215</v>
      </c>
      <c r="M376" s="145"/>
      <c r="N376" s="83" t="s">
        <v>366</v>
      </c>
      <c r="O376" s="83">
        <v>8</v>
      </c>
      <c r="P376" s="83">
        <v>25.5</v>
      </c>
      <c r="Q376" s="84">
        <f>O376*P376</f>
        <v>204</v>
      </c>
      <c r="R376" s="168">
        <f>SUM(Q376:Q379)</f>
        <v>301.5</v>
      </c>
      <c r="S376" s="169"/>
    </row>
    <row r="377" spans="3:19" ht="15.75" thickBot="1" x14ac:dyDescent="0.3">
      <c r="C377" s="86"/>
      <c r="D377" s="12"/>
      <c r="E377" s="10"/>
      <c r="F377" s="11"/>
      <c r="G377" s="11"/>
      <c r="H377" s="11"/>
      <c r="I377" s="12"/>
      <c r="L377" s="166" t="s">
        <v>430</v>
      </c>
      <c r="M377" s="167"/>
      <c r="N377" s="11" t="s">
        <v>152</v>
      </c>
      <c r="O377" s="11">
        <v>18</v>
      </c>
      <c r="P377" s="11">
        <f>10/12</f>
        <v>0.83333333333333337</v>
      </c>
      <c r="Q377" s="84">
        <f t="shared" ref="Q377:Q379" si="24">O377*P377</f>
        <v>15</v>
      </c>
      <c r="R377" s="170"/>
      <c r="S377" s="171"/>
    </row>
    <row r="378" spans="3:19" ht="15.75" thickBot="1" x14ac:dyDescent="0.3">
      <c r="C378" s="86"/>
      <c r="D378" s="12"/>
      <c r="E378" s="10"/>
      <c r="F378" s="11"/>
      <c r="G378" s="11"/>
      <c r="H378" s="11"/>
      <c r="I378" s="12"/>
      <c r="L378" s="166" t="s">
        <v>281</v>
      </c>
      <c r="M378" s="167"/>
      <c r="N378" s="11" t="s">
        <v>152</v>
      </c>
      <c r="O378" s="11">
        <v>100</v>
      </c>
      <c r="P378" s="11">
        <f>12/100</f>
        <v>0.12</v>
      </c>
      <c r="Q378" s="84">
        <f t="shared" si="24"/>
        <v>12</v>
      </c>
      <c r="R378" s="170"/>
      <c r="S378" s="171"/>
    </row>
    <row r="379" spans="3:19" x14ac:dyDescent="0.25">
      <c r="C379" s="86"/>
      <c r="D379" s="12"/>
      <c r="E379" s="10"/>
      <c r="F379" s="11"/>
      <c r="G379" s="11"/>
      <c r="H379" s="11"/>
      <c r="I379" s="12"/>
      <c r="L379" s="166" t="s">
        <v>242</v>
      </c>
      <c r="M379" s="167"/>
      <c r="N379" s="11" t="s">
        <v>152</v>
      </c>
      <c r="O379" s="11">
        <v>18</v>
      </c>
      <c r="P379" s="11">
        <f>47/12</f>
        <v>3.9166666666666665</v>
      </c>
      <c r="Q379" s="84">
        <f t="shared" si="24"/>
        <v>70.5</v>
      </c>
      <c r="R379" s="170"/>
      <c r="S379" s="171"/>
    </row>
    <row r="381" spans="3:19" ht="3" customHeight="1" x14ac:dyDescent="0.25">
      <c r="C381" s="20"/>
      <c r="D381" s="13"/>
      <c r="E381" s="13"/>
      <c r="F381" s="13"/>
      <c r="G381" s="13"/>
      <c r="H381" s="13"/>
      <c r="I381" s="13"/>
      <c r="J381" s="13"/>
      <c r="L381" s="13"/>
      <c r="M381" s="13"/>
      <c r="N381" s="13"/>
      <c r="O381" s="13"/>
      <c r="P381" s="13"/>
      <c r="Q381" s="13"/>
      <c r="R381" s="13"/>
      <c r="S381" s="21"/>
    </row>
    <row r="382" spans="3:19" ht="15.75" thickBot="1" x14ac:dyDescent="0.3"/>
    <row r="383" spans="3:19" ht="15.75" thickBot="1" x14ac:dyDescent="0.3">
      <c r="C383" s="2" t="s">
        <v>1</v>
      </c>
      <c r="D383" s="161" t="s">
        <v>8</v>
      </c>
      <c r="E383" s="162"/>
      <c r="F383" s="161" t="s">
        <v>9</v>
      </c>
      <c r="G383" s="163"/>
      <c r="H383" s="163"/>
      <c r="I383" s="163"/>
      <c r="J383" s="163"/>
      <c r="K383" s="163"/>
      <c r="L383" s="163"/>
      <c r="M383" s="162"/>
      <c r="N383" s="22" t="s">
        <v>10</v>
      </c>
      <c r="O383" s="161" t="s">
        <v>11</v>
      </c>
      <c r="P383" s="162"/>
      <c r="Q383" s="161" t="s">
        <v>12</v>
      </c>
      <c r="R383" s="163"/>
      <c r="S383" s="162"/>
    </row>
    <row r="384" spans="3:19" ht="15.75" thickBot="1" x14ac:dyDescent="0.3">
      <c r="C384" s="6">
        <v>482</v>
      </c>
      <c r="D384" s="164">
        <v>45758</v>
      </c>
      <c r="E384" s="154"/>
      <c r="F384" s="152" t="s">
        <v>447</v>
      </c>
      <c r="G384" s="153"/>
      <c r="H384" s="153"/>
      <c r="I384" s="153"/>
      <c r="J384" s="153"/>
      <c r="K384" s="153"/>
      <c r="L384" s="153"/>
      <c r="M384" s="154"/>
      <c r="N384" s="19">
        <v>1</v>
      </c>
      <c r="O384" s="77" t="s">
        <v>13</v>
      </c>
      <c r="P384" t="s">
        <v>14</v>
      </c>
      <c r="Q384" s="152" t="s">
        <v>230</v>
      </c>
      <c r="R384" s="153"/>
      <c r="S384" s="154"/>
    </row>
    <row r="385" spans="3:19" ht="15.75" thickBot="1" x14ac:dyDescent="0.3">
      <c r="C385" s="161" t="s">
        <v>15</v>
      </c>
      <c r="D385" s="163"/>
      <c r="E385" s="163"/>
      <c r="F385" s="163"/>
      <c r="G385" s="163"/>
      <c r="H385" s="163"/>
      <c r="I385" s="162"/>
      <c r="J385" s="50"/>
      <c r="K385" s="23"/>
      <c r="L385" s="161" t="s">
        <v>7</v>
      </c>
      <c r="M385" s="163"/>
      <c r="N385" s="163"/>
      <c r="O385" s="163"/>
      <c r="P385" s="163"/>
      <c r="Q385" s="163"/>
      <c r="R385" s="163"/>
      <c r="S385" s="162"/>
    </row>
    <row r="386" spans="3:19" ht="15.75" thickBot="1" x14ac:dyDescent="0.3">
      <c r="C386" s="174" t="s">
        <v>16</v>
      </c>
      <c r="D386" s="175"/>
      <c r="E386" s="7" t="s">
        <v>84</v>
      </c>
      <c r="F386" s="7" t="s">
        <v>85</v>
      </c>
      <c r="G386" s="7" t="s">
        <v>86</v>
      </c>
      <c r="H386" s="7" t="s">
        <v>87</v>
      </c>
      <c r="I386" s="8" t="s">
        <v>88</v>
      </c>
      <c r="J386" s="43" t="s">
        <v>429</v>
      </c>
      <c r="K386" s="52"/>
      <c r="L386" s="176" t="s">
        <v>17</v>
      </c>
      <c r="M386" s="177"/>
      <c r="N386" s="42" t="s">
        <v>18</v>
      </c>
      <c r="O386" s="34" t="s">
        <v>19</v>
      </c>
      <c r="P386" s="42" t="s">
        <v>20</v>
      </c>
      <c r="Q386" s="34" t="s">
        <v>21</v>
      </c>
      <c r="R386" s="158" t="s">
        <v>22</v>
      </c>
      <c r="S386" s="159"/>
    </row>
    <row r="387" spans="3:19" ht="15.75" thickBot="1" x14ac:dyDescent="0.3">
      <c r="C387" s="85"/>
      <c r="D387" s="84"/>
      <c r="E387" s="10">
        <v>2</v>
      </c>
      <c r="F387" s="11">
        <v>3</v>
      </c>
      <c r="G387" s="11">
        <v>7</v>
      </c>
      <c r="H387" s="11">
        <v>4</v>
      </c>
      <c r="I387" s="12">
        <v>2</v>
      </c>
      <c r="J387">
        <v>1</v>
      </c>
      <c r="L387" s="165" t="s">
        <v>215</v>
      </c>
      <c r="M387" s="145"/>
      <c r="N387" s="83" t="s">
        <v>173</v>
      </c>
      <c r="O387" s="83">
        <v>10</v>
      </c>
      <c r="P387" s="83">
        <v>28</v>
      </c>
      <c r="Q387" s="84">
        <f>O387*P387</f>
        <v>280</v>
      </c>
      <c r="R387" s="168">
        <f>SUM(Q387:Q392)</f>
        <v>1194.5</v>
      </c>
      <c r="S387" s="169"/>
    </row>
    <row r="388" spans="3:19" ht="15.75" thickBot="1" x14ac:dyDescent="0.3">
      <c r="C388" s="86"/>
      <c r="D388" s="12"/>
      <c r="E388" s="10"/>
      <c r="F388" s="11"/>
      <c r="G388" s="11"/>
      <c r="H388" s="11"/>
      <c r="I388" s="12"/>
      <c r="L388" s="166"/>
      <c r="M388" s="167"/>
      <c r="N388" s="11" t="s">
        <v>216</v>
      </c>
      <c r="O388" s="11">
        <v>10</v>
      </c>
      <c r="P388" s="11">
        <v>28</v>
      </c>
      <c r="Q388" s="84">
        <f t="shared" ref="Q388:Q392" si="25">O388*P388</f>
        <v>280</v>
      </c>
      <c r="R388" s="170"/>
      <c r="S388" s="171"/>
    </row>
    <row r="389" spans="3:19" ht="15.75" thickBot="1" x14ac:dyDescent="0.3">
      <c r="C389" s="86"/>
      <c r="D389" s="12"/>
      <c r="E389" s="10"/>
      <c r="F389" s="11"/>
      <c r="G389" s="11"/>
      <c r="H389" s="11"/>
      <c r="I389" s="12"/>
      <c r="L389" s="166" t="s">
        <v>242</v>
      </c>
      <c r="M389" s="167"/>
      <c r="N389" s="11" t="s">
        <v>152</v>
      </c>
      <c r="O389" s="11">
        <v>18</v>
      </c>
      <c r="P389" s="11">
        <f>47/12</f>
        <v>3.9166666666666665</v>
      </c>
      <c r="Q389" s="84">
        <f t="shared" si="25"/>
        <v>70.5</v>
      </c>
      <c r="R389" s="170"/>
      <c r="S389" s="171"/>
    </row>
    <row r="390" spans="3:19" ht="15.75" thickBot="1" x14ac:dyDescent="0.3">
      <c r="C390" s="86"/>
      <c r="D390" s="12"/>
      <c r="E390" s="10"/>
      <c r="F390" s="11"/>
      <c r="G390" s="11"/>
      <c r="H390" s="11"/>
      <c r="I390" s="12"/>
      <c r="L390" s="166"/>
      <c r="M390" s="167"/>
      <c r="N390" s="11" t="s">
        <v>173</v>
      </c>
      <c r="O390" s="11">
        <v>24</v>
      </c>
      <c r="P390" s="11">
        <f>47/12</f>
        <v>3.9166666666666665</v>
      </c>
      <c r="Q390" s="84">
        <f t="shared" si="25"/>
        <v>94</v>
      </c>
      <c r="R390" s="170"/>
      <c r="S390" s="171"/>
    </row>
    <row r="391" spans="3:19" ht="15.75" thickBot="1" x14ac:dyDescent="0.3">
      <c r="C391" s="86"/>
      <c r="D391" s="12"/>
      <c r="E391" s="10"/>
      <c r="F391" s="11"/>
      <c r="G391" s="11"/>
      <c r="H391" s="11"/>
      <c r="I391" s="12"/>
      <c r="L391" s="166" t="s">
        <v>433</v>
      </c>
      <c r="M391" s="167"/>
      <c r="N391" s="11" t="s">
        <v>152</v>
      </c>
      <c r="O391" s="11">
        <v>26</v>
      </c>
      <c r="P391" s="11">
        <v>10</v>
      </c>
      <c r="Q391" s="84">
        <f t="shared" si="25"/>
        <v>260</v>
      </c>
      <c r="R391" s="170"/>
      <c r="S391" s="171"/>
    </row>
    <row r="392" spans="3:19" x14ac:dyDescent="0.25">
      <c r="C392" s="86"/>
      <c r="D392" s="12"/>
      <c r="E392" s="10"/>
      <c r="F392" s="11"/>
      <c r="G392" s="11"/>
      <c r="H392" s="11"/>
      <c r="I392" s="12"/>
      <c r="L392" s="166"/>
      <c r="M392" s="167"/>
      <c r="N392" s="11" t="s">
        <v>173</v>
      </c>
      <c r="O392" s="11">
        <v>21</v>
      </c>
      <c r="P392" s="11">
        <v>10</v>
      </c>
      <c r="Q392" s="84">
        <f t="shared" si="25"/>
        <v>210</v>
      </c>
      <c r="R392" s="170"/>
      <c r="S392" s="171"/>
    </row>
    <row r="394" spans="3:19" ht="3" customHeight="1" x14ac:dyDescent="0.25">
      <c r="C394" s="20"/>
      <c r="D394" s="13"/>
      <c r="E394" s="13"/>
      <c r="F394" s="13"/>
      <c r="G394" s="13"/>
      <c r="H394" s="13"/>
      <c r="I394" s="13"/>
      <c r="J394" s="13"/>
      <c r="L394" s="13"/>
      <c r="M394" s="13"/>
      <c r="N394" s="13"/>
      <c r="O394" s="13"/>
      <c r="P394" s="13"/>
      <c r="Q394" s="13"/>
      <c r="R394" s="13"/>
      <c r="S394" s="21"/>
    </row>
  </sheetData>
  <mergeCells count="799">
    <mergeCell ref="D384:E384"/>
    <mergeCell ref="F384:M384"/>
    <mergeCell ref="Q384:S384"/>
    <mergeCell ref="C385:I385"/>
    <mergeCell ref="L385:S385"/>
    <mergeCell ref="C386:D386"/>
    <mergeCell ref="L386:M386"/>
    <mergeCell ref="R386:S386"/>
    <mergeCell ref="L387:M387"/>
    <mergeCell ref="R387:S392"/>
    <mergeCell ref="L388:M388"/>
    <mergeCell ref="L391:M391"/>
    <mergeCell ref="L392:M392"/>
    <mergeCell ref="L389:M389"/>
    <mergeCell ref="L390:M390"/>
    <mergeCell ref="C375:D375"/>
    <mergeCell ref="L375:M375"/>
    <mergeCell ref="R375:S375"/>
    <mergeCell ref="L376:M376"/>
    <mergeCell ref="R376:S379"/>
    <mergeCell ref="L377:M377"/>
    <mergeCell ref="L378:M378"/>
    <mergeCell ref="L379:M379"/>
    <mergeCell ref="D383:E383"/>
    <mergeCell ref="F383:M383"/>
    <mergeCell ref="O383:P383"/>
    <mergeCell ref="Q383:S383"/>
    <mergeCell ref="D372:E372"/>
    <mergeCell ref="F372:M372"/>
    <mergeCell ref="O372:P372"/>
    <mergeCell ref="Q372:S372"/>
    <mergeCell ref="D373:E373"/>
    <mergeCell ref="F373:M373"/>
    <mergeCell ref="Q373:S373"/>
    <mergeCell ref="C374:I374"/>
    <mergeCell ref="L374:S374"/>
    <mergeCell ref="C366:E366"/>
    <mergeCell ref="F366:N366"/>
    <mergeCell ref="R366:S366"/>
    <mergeCell ref="D367:G367"/>
    <mergeCell ref="H367:L367"/>
    <mergeCell ref="M367:N367"/>
    <mergeCell ref="Q367:R367"/>
    <mergeCell ref="D368:G368"/>
    <mergeCell ref="H368:L368"/>
    <mergeCell ref="M368:N368"/>
    <mergeCell ref="Q368:R368"/>
    <mergeCell ref="D363:E363"/>
    <mergeCell ref="F363:N363"/>
    <mergeCell ref="P363:Q363"/>
    <mergeCell ref="R363:S363"/>
    <mergeCell ref="D364:E364"/>
    <mergeCell ref="F364:N364"/>
    <mergeCell ref="R364:S364"/>
    <mergeCell ref="C365:E365"/>
    <mergeCell ref="F365:N365"/>
    <mergeCell ref="P365:Q365"/>
    <mergeCell ref="R365:S365"/>
    <mergeCell ref="C355:E355"/>
    <mergeCell ref="F355:N355"/>
    <mergeCell ref="R355:S355"/>
    <mergeCell ref="D356:G356"/>
    <mergeCell ref="H356:L356"/>
    <mergeCell ref="M356:N356"/>
    <mergeCell ref="Q356:R356"/>
    <mergeCell ref="D357:G357"/>
    <mergeCell ref="H357:L357"/>
    <mergeCell ref="M357:N357"/>
    <mergeCell ref="Q357:R359"/>
    <mergeCell ref="D359:G359"/>
    <mergeCell ref="H359:L359"/>
    <mergeCell ref="M359:N359"/>
    <mergeCell ref="D358:G358"/>
    <mergeCell ref="H358:L358"/>
    <mergeCell ref="M358:N358"/>
    <mergeCell ref="D352:E352"/>
    <mergeCell ref="F352:N352"/>
    <mergeCell ref="P352:Q352"/>
    <mergeCell ref="R352:S352"/>
    <mergeCell ref="D353:E353"/>
    <mergeCell ref="F353:N353"/>
    <mergeCell ref="R353:S353"/>
    <mergeCell ref="C354:E354"/>
    <mergeCell ref="F354:N354"/>
    <mergeCell ref="P354:Q354"/>
    <mergeCell ref="R354:S354"/>
    <mergeCell ref="H339:L339"/>
    <mergeCell ref="M339:N339"/>
    <mergeCell ref="Q335:R339"/>
    <mergeCell ref="C333:E333"/>
    <mergeCell ref="F333:N333"/>
    <mergeCell ref="R333:S333"/>
    <mergeCell ref="D334:G334"/>
    <mergeCell ref="H334:L334"/>
    <mergeCell ref="M334:N334"/>
    <mergeCell ref="Q334:R334"/>
    <mergeCell ref="D335:G335"/>
    <mergeCell ref="H335:L335"/>
    <mergeCell ref="M335:N335"/>
    <mergeCell ref="D336:G336"/>
    <mergeCell ref="H336:L336"/>
    <mergeCell ref="M336:N336"/>
    <mergeCell ref="D337:G337"/>
    <mergeCell ref="H337:L337"/>
    <mergeCell ref="M337:N337"/>
    <mergeCell ref="D338:G338"/>
    <mergeCell ref="H338:L338"/>
    <mergeCell ref="M338:N338"/>
    <mergeCell ref="D339:G339"/>
    <mergeCell ref="D330:E330"/>
    <mergeCell ref="F330:N330"/>
    <mergeCell ref="P330:Q330"/>
    <mergeCell ref="R330:S330"/>
    <mergeCell ref="D331:E331"/>
    <mergeCell ref="F331:N331"/>
    <mergeCell ref="R331:S331"/>
    <mergeCell ref="C332:E332"/>
    <mergeCell ref="F332:N332"/>
    <mergeCell ref="P332:Q332"/>
    <mergeCell ref="R332:S332"/>
    <mergeCell ref="C289:E289"/>
    <mergeCell ref="F289:N289"/>
    <mergeCell ref="R289:S289"/>
    <mergeCell ref="D290:G290"/>
    <mergeCell ref="H290:L290"/>
    <mergeCell ref="M290:N290"/>
    <mergeCell ref="Q290:R290"/>
    <mergeCell ref="Q291:R292"/>
    <mergeCell ref="D291:G291"/>
    <mergeCell ref="H291:L291"/>
    <mergeCell ref="M291:N291"/>
    <mergeCell ref="D292:G292"/>
    <mergeCell ref="H292:L292"/>
    <mergeCell ref="M292:N292"/>
    <mergeCell ref="D286:E286"/>
    <mergeCell ref="F286:N286"/>
    <mergeCell ref="P286:Q286"/>
    <mergeCell ref="R286:S286"/>
    <mergeCell ref="D287:E287"/>
    <mergeCell ref="F287:N287"/>
    <mergeCell ref="R287:S287"/>
    <mergeCell ref="C288:E288"/>
    <mergeCell ref="F288:N288"/>
    <mergeCell ref="P288:Q288"/>
    <mergeCell ref="R288:S288"/>
    <mergeCell ref="C223:E223"/>
    <mergeCell ref="F223:N223"/>
    <mergeCell ref="R223:S223"/>
    <mergeCell ref="D224:G224"/>
    <mergeCell ref="H224:L224"/>
    <mergeCell ref="M224:N224"/>
    <mergeCell ref="Q224:R224"/>
    <mergeCell ref="D227:G227"/>
    <mergeCell ref="H227:L227"/>
    <mergeCell ref="M227:N227"/>
    <mergeCell ref="D228:G228"/>
    <mergeCell ref="H228:L228"/>
    <mergeCell ref="M228:N228"/>
    <mergeCell ref="D225:G225"/>
    <mergeCell ref="H225:L225"/>
    <mergeCell ref="M225:N225"/>
    <mergeCell ref="Q225:R228"/>
    <mergeCell ref="D226:G226"/>
    <mergeCell ref="H226:L226"/>
    <mergeCell ref="M226:N226"/>
    <mergeCell ref="D220:E220"/>
    <mergeCell ref="F220:N220"/>
    <mergeCell ref="P220:Q220"/>
    <mergeCell ref="R220:S220"/>
    <mergeCell ref="D221:E221"/>
    <mergeCell ref="F221:N221"/>
    <mergeCell ref="R221:S221"/>
    <mergeCell ref="C222:E222"/>
    <mergeCell ref="F222:N222"/>
    <mergeCell ref="P222:Q222"/>
    <mergeCell ref="R222:S222"/>
    <mergeCell ref="C203:D203"/>
    <mergeCell ref="L203:M203"/>
    <mergeCell ref="R203:S203"/>
    <mergeCell ref="C204:D204"/>
    <mergeCell ref="L204:M204"/>
    <mergeCell ref="R204:S206"/>
    <mergeCell ref="C205:D205"/>
    <mergeCell ref="L205:M205"/>
    <mergeCell ref="C206:D206"/>
    <mergeCell ref="L206:M206"/>
    <mergeCell ref="D200:E200"/>
    <mergeCell ref="F200:M200"/>
    <mergeCell ref="O200:P200"/>
    <mergeCell ref="Q200:S200"/>
    <mergeCell ref="D201:E201"/>
    <mergeCell ref="F201:M201"/>
    <mergeCell ref="Q201:S201"/>
    <mergeCell ref="C202:I202"/>
    <mergeCell ref="L202:S202"/>
    <mergeCell ref="C170:D170"/>
    <mergeCell ref="L170:M170"/>
    <mergeCell ref="R170:S170"/>
    <mergeCell ref="C171:D171"/>
    <mergeCell ref="L171:M171"/>
    <mergeCell ref="R171:S176"/>
    <mergeCell ref="C172:D172"/>
    <mergeCell ref="L172:M172"/>
    <mergeCell ref="C175:D175"/>
    <mergeCell ref="L173:M173"/>
    <mergeCell ref="C176:D176"/>
    <mergeCell ref="L176:M176"/>
    <mergeCell ref="C173:D173"/>
    <mergeCell ref="C174:D174"/>
    <mergeCell ref="L174:M174"/>
    <mergeCell ref="L175:M175"/>
    <mergeCell ref="D167:E167"/>
    <mergeCell ref="F167:M167"/>
    <mergeCell ref="O167:P167"/>
    <mergeCell ref="Q167:S167"/>
    <mergeCell ref="D168:E168"/>
    <mergeCell ref="F168:M168"/>
    <mergeCell ref="Q168:S168"/>
    <mergeCell ref="C169:I169"/>
    <mergeCell ref="L169:S169"/>
    <mergeCell ref="C159:E159"/>
    <mergeCell ref="F159:N159"/>
    <mergeCell ref="R159:S159"/>
    <mergeCell ref="D160:G160"/>
    <mergeCell ref="H160:L160"/>
    <mergeCell ref="M160:N160"/>
    <mergeCell ref="Q160:R160"/>
    <mergeCell ref="D163:G163"/>
    <mergeCell ref="H163:L163"/>
    <mergeCell ref="M163:N163"/>
    <mergeCell ref="D161:G161"/>
    <mergeCell ref="H161:L161"/>
    <mergeCell ref="M161:N161"/>
    <mergeCell ref="D162:G162"/>
    <mergeCell ref="H162:L162"/>
    <mergeCell ref="M162:N162"/>
    <mergeCell ref="Q161:R163"/>
    <mergeCell ref="D156:E156"/>
    <mergeCell ref="F156:N156"/>
    <mergeCell ref="P156:Q156"/>
    <mergeCell ref="R156:S156"/>
    <mergeCell ref="D157:E157"/>
    <mergeCell ref="F157:N157"/>
    <mergeCell ref="R157:S157"/>
    <mergeCell ref="C158:E158"/>
    <mergeCell ref="F158:N158"/>
    <mergeCell ref="P158:Q158"/>
    <mergeCell ref="R158:S158"/>
    <mergeCell ref="C148:D148"/>
    <mergeCell ref="L148:M148"/>
    <mergeCell ref="R148:S148"/>
    <mergeCell ref="C149:D149"/>
    <mergeCell ref="L149:M149"/>
    <mergeCell ref="R149:S152"/>
    <mergeCell ref="C150:D150"/>
    <mergeCell ref="L150:M150"/>
    <mergeCell ref="C151:D151"/>
    <mergeCell ref="L151:M151"/>
    <mergeCell ref="C152:D152"/>
    <mergeCell ref="L152:M152"/>
    <mergeCell ref="D145:E145"/>
    <mergeCell ref="F145:M145"/>
    <mergeCell ref="O145:P145"/>
    <mergeCell ref="Q145:S145"/>
    <mergeCell ref="D146:E146"/>
    <mergeCell ref="F146:M146"/>
    <mergeCell ref="Q146:S146"/>
    <mergeCell ref="C147:I147"/>
    <mergeCell ref="L147:S147"/>
    <mergeCell ref="C139:E139"/>
    <mergeCell ref="F139:N139"/>
    <mergeCell ref="R139:S139"/>
    <mergeCell ref="D140:G140"/>
    <mergeCell ref="H140:L140"/>
    <mergeCell ref="M140:N140"/>
    <mergeCell ref="Q140:R140"/>
    <mergeCell ref="D141:G141"/>
    <mergeCell ref="H141:L141"/>
    <mergeCell ref="M141:N141"/>
    <mergeCell ref="Q141:R141"/>
    <mergeCell ref="D136:E136"/>
    <mergeCell ref="F136:N136"/>
    <mergeCell ref="P136:Q136"/>
    <mergeCell ref="R136:S136"/>
    <mergeCell ref="D137:E137"/>
    <mergeCell ref="F137:N137"/>
    <mergeCell ref="R137:S137"/>
    <mergeCell ref="C138:E138"/>
    <mergeCell ref="F138:N138"/>
    <mergeCell ref="P138:Q138"/>
    <mergeCell ref="R138:S138"/>
    <mergeCell ref="C130:E130"/>
    <mergeCell ref="F130:N130"/>
    <mergeCell ref="R130:S130"/>
    <mergeCell ref="D131:G131"/>
    <mergeCell ref="H131:L131"/>
    <mergeCell ref="M131:N131"/>
    <mergeCell ref="Q131:R131"/>
    <mergeCell ref="D132:G132"/>
    <mergeCell ref="H132:L132"/>
    <mergeCell ref="M132:N132"/>
    <mergeCell ref="Q132:R132"/>
    <mergeCell ref="D127:E127"/>
    <mergeCell ref="F127:N127"/>
    <mergeCell ref="P127:Q127"/>
    <mergeCell ref="R127:S127"/>
    <mergeCell ref="D128:E128"/>
    <mergeCell ref="F128:N128"/>
    <mergeCell ref="R128:S128"/>
    <mergeCell ref="C129:E129"/>
    <mergeCell ref="F129:N129"/>
    <mergeCell ref="P129:Q129"/>
    <mergeCell ref="R129:S129"/>
    <mergeCell ref="D90:G90"/>
    <mergeCell ref="H90:L90"/>
    <mergeCell ref="M90:N90"/>
    <mergeCell ref="Q90:R90"/>
    <mergeCell ref="D91:G91"/>
    <mergeCell ref="H91:L91"/>
    <mergeCell ref="M91:N91"/>
    <mergeCell ref="Q91:R91"/>
    <mergeCell ref="D87:E87"/>
    <mergeCell ref="F87:N87"/>
    <mergeCell ref="R87:S87"/>
    <mergeCell ref="C88:E88"/>
    <mergeCell ref="F88:N88"/>
    <mergeCell ref="P88:Q88"/>
    <mergeCell ref="R88:S88"/>
    <mergeCell ref="C89:E89"/>
    <mergeCell ref="F89:N89"/>
    <mergeCell ref="R89:S89"/>
    <mergeCell ref="C67:D67"/>
    <mergeCell ref="L67:M67"/>
    <mergeCell ref="R67:S67"/>
    <mergeCell ref="C68:D68"/>
    <mergeCell ref="L68:M68"/>
    <mergeCell ref="R68:S69"/>
    <mergeCell ref="C69:D69"/>
    <mergeCell ref="L69:M69"/>
    <mergeCell ref="D86:E86"/>
    <mergeCell ref="F86:N86"/>
    <mergeCell ref="P86:Q86"/>
    <mergeCell ref="R86:S86"/>
    <mergeCell ref="C75:I75"/>
    <mergeCell ref="L75:S75"/>
    <mergeCell ref="C76:D76"/>
    <mergeCell ref="L76:M76"/>
    <mergeCell ref="R76:S76"/>
    <mergeCell ref="D73:E73"/>
    <mergeCell ref="F73:M73"/>
    <mergeCell ref="O73:P73"/>
    <mergeCell ref="Q73:S73"/>
    <mergeCell ref="D74:E74"/>
    <mergeCell ref="F74:M74"/>
    <mergeCell ref="Q74:S74"/>
    <mergeCell ref="O64:P64"/>
    <mergeCell ref="Q64:S64"/>
    <mergeCell ref="D65:E65"/>
    <mergeCell ref="F65:M65"/>
    <mergeCell ref="Q65:S65"/>
    <mergeCell ref="D64:E64"/>
    <mergeCell ref="F64:M64"/>
    <mergeCell ref="C66:I66"/>
    <mergeCell ref="L66:S66"/>
    <mergeCell ref="C56:D56"/>
    <mergeCell ref="L56:M56"/>
    <mergeCell ref="R56:S56"/>
    <mergeCell ref="C57:D57"/>
    <mergeCell ref="L57:M57"/>
    <mergeCell ref="R57:S60"/>
    <mergeCell ref="C58:D58"/>
    <mergeCell ref="L58:M58"/>
    <mergeCell ref="C60:D60"/>
    <mergeCell ref="L60:M60"/>
    <mergeCell ref="C59:D59"/>
    <mergeCell ref="L59:M59"/>
    <mergeCell ref="D53:E53"/>
    <mergeCell ref="F53:M53"/>
    <mergeCell ref="O53:P53"/>
    <mergeCell ref="Q53:S53"/>
    <mergeCell ref="D54:E54"/>
    <mergeCell ref="F54:M54"/>
    <mergeCell ref="Q54:S54"/>
    <mergeCell ref="C55:I55"/>
    <mergeCell ref="L55:S55"/>
    <mergeCell ref="D31:E31"/>
    <mergeCell ref="F31:M31"/>
    <mergeCell ref="Q31:S31"/>
    <mergeCell ref="C32:I32"/>
    <mergeCell ref="L32:S32"/>
    <mergeCell ref="C1:S2"/>
    <mergeCell ref="D30:E30"/>
    <mergeCell ref="F30:M30"/>
    <mergeCell ref="O30:P30"/>
    <mergeCell ref="Q30:S30"/>
    <mergeCell ref="P43:Q43"/>
    <mergeCell ref="R43:S43"/>
    <mergeCell ref="D44:E44"/>
    <mergeCell ref="F44:N44"/>
    <mergeCell ref="R44:S44"/>
    <mergeCell ref="C33:D33"/>
    <mergeCell ref="C34:D34"/>
    <mergeCell ref="C35:D35"/>
    <mergeCell ref="C36:D36"/>
    <mergeCell ref="C37:D37"/>
    <mergeCell ref="D43:E43"/>
    <mergeCell ref="F43:N43"/>
    <mergeCell ref="C38:D38"/>
    <mergeCell ref="C39:D39"/>
    <mergeCell ref="L33:M33"/>
    <mergeCell ref="R33:S33"/>
    <mergeCell ref="L34:M34"/>
    <mergeCell ref="R34:S37"/>
    <mergeCell ref="L35:M35"/>
    <mergeCell ref="L36:M36"/>
    <mergeCell ref="L37:M37"/>
    <mergeCell ref="L38:M38"/>
    <mergeCell ref="L39:M39"/>
    <mergeCell ref="Q47:R47"/>
    <mergeCell ref="D48:G48"/>
    <mergeCell ref="H48:L48"/>
    <mergeCell ref="M48:N48"/>
    <mergeCell ref="Q48:R49"/>
    <mergeCell ref="D49:G49"/>
    <mergeCell ref="H49:L49"/>
    <mergeCell ref="M49:N49"/>
    <mergeCell ref="P45:Q45"/>
    <mergeCell ref="R45:S45"/>
    <mergeCell ref="C46:E46"/>
    <mergeCell ref="F46:N46"/>
    <mergeCell ref="R46:S46"/>
    <mergeCell ref="D47:G47"/>
    <mergeCell ref="H47:L47"/>
    <mergeCell ref="M47:N47"/>
    <mergeCell ref="C45:E45"/>
    <mergeCell ref="F45:N45"/>
    <mergeCell ref="L77:M77"/>
    <mergeCell ref="R77:S82"/>
    <mergeCell ref="L78:M78"/>
    <mergeCell ref="L79:M79"/>
    <mergeCell ref="L80:M80"/>
    <mergeCell ref="C81:D81"/>
    <mergeCell ref="L81:M81"/>
    <mergeCell ref="C82:D82"/>
    <mergeCell ref="L82:M82"/>
    <mergeCell ref="D95:E95"/>
    <mergeCell ref="F95:M95"/>
    <mergeCell ref="O95:P95"/>
    <mergeCell ref="Q95:S95"/>
    <mergeCell ref="D96:E96"/>
    <mergeCell ref="F96:M96"/>
    <mergeCell ref="Q96:S96"/>
    <mergeCell ref="C97:I97"/>
    <mergeCell ref="L97:S97"/>
    <mergeCell ref="C98:D98"/>
    <mergeCell ref="L98:M98"/>
    <mergeCell ref="R98:S98"/>
    <mergeCell ref="L99:M99"/>
    <mergeCell ref="R99:S103"/>
    <mergeCell ref="L100:M100"/>
    <mergeCell ref="L101:M101"/>
    <mergeCell ref="L102:M102"/>
    <mergeCell ref="L103:M103"/>
    <mergeCell ref="C103:D103"/>
    <mergeCell ref="C99:D99"/>
    <mergeCell ref="C100:D100"/>
    <mergeCell ref="C101:D101"/>
    <mergeCell ref="C102:D102"/>
    <mergeCell ref="D107:E107"/>
    <mergeCell ref="D108:E108"/>
    <mergeCell ref="F107:M107"/>
    <mergeCell ref="O107:P107"/>
    <mergeCell ref="Q107:S107"/>
    <mergeCell ref="F108:M108"/>
    <mergeCell ref="Q108:S108"/>
    <mergeCell ref="C109:I109"/>
    <mergeCell ref="L109:S109"/>
    <mergeCell ref="C112:D112"/>
    <mergeCell ref="D116:E116"/>
    <mergeCell ref="F116:M116"/>
    <mergeCell ref="O116:P116"/>
    <mergeCell ref="Q116:S116"/>
    <mergeCell ref="D117:E117"/>
    <mergeCell ref="F117:M117"/>
    <mergeCell ref="Q117:S117"/>
    <mergeCell ref="R110:S110"/>
    <mergeCell ref="C110:D110"/>
    <mergeCell ref="L110:M110"/>
    <mergeCell ref="C111:D111"/>
    <mergeCell ref="L111:M111"/>
    <mergeCell ref="R111:S112"/>
    <mergeCell ref="L112:M112"/>
    <mergeCell ref="C118:I118"/>
    <mergeCell ref="L118:S118"/>
    <mergeCell ref="C119:D119"/>
    <mergeCell ref="L119:M119"/>
    <mergeCell ref="R119:S119"/>
    <mergeCell ref="C120:D120"/>
    <mergeCell ref="L120:M120"/>
    <mergeCell ref="R120:S123"/>
    <mergeCell ref="C121:D121"/>
    <mergeCell ref="L121:M121"/>
    <mergeCell ref="C122:D122"/>
    <mergeCell ref="L122:M122"/>
    <mergeCell ref="C123:D123"/>
    <mergeCell ref="L123:M123"/>
    <mergeCell ref="D180:E180"/>
    <mergeCell ref="F180:N180"/>
    <mergeCell ref="P180:Q180"/>
    <mergeCell ref="R180:S180"/>
    <mergeCell ref="D181:E181"/>
    <mergeCell ref="F181:N181"/>
    <mergeCell ref="R181:S181"/>
    <mergeCell ref="C182:E182"/>
    <mergeCell ref="F182:N182"/>
    <mergeCell ref="P182:Q182"/>
    <mergeCell ref="R182:S182"/>
    <mergeCell ref="C183:E183"/>
    <mergeCell ref="F183:N183"/>
    <mergeCell ref="R183:S183"/>
    <mergeCell ref="D184:G184"/>
    <mergeCell ref="H184:L184"/>
    <mergeCell ref="M184:N184"/>
    <mergeCell ref="Q184:R184"/>
    <mergeCell ref="Q185:R185"/>
    <mergeCell ref="D185:G185"/>
    <mergeCell ref="H185:L185"/>
    <mergeCell ref="M185:N185"/>
    <mergeCell ref="D189:E189"/>
    <mergeCell ref="F189:N189"/>
    <mergeCell ref="P189:Q189"/>
    <mergeCell ref="R189:S189"/>
    <mergeCell ref="D190:E190"/>
    <mergeCell ref="F190:N190"/>
    <mergeCell ref="R190:S190"/>
    <mergeCell ref="C191:E191"/>
    <mergeCell ref="F191:N191"/>
    <mergeCell ref="P191:Q191"/>
    <mergeCell ref="R191:S191"/>
    <mergeCell ref="C192:E192"/>
    <mergeCell ref="F192:N192"/>
    <mergeCell ref="R192:S192"/>
    <mergeCell ref="D193:G193"/>
    <mergeCell ref="H193:L193"/>
    <mergeCell ref="M193:N193"/>
    <mergeCell ref="Q193:R193"/>
    <mergeCell ref="D194:G194"/>
    <mergeCell ref="H194:L194"/>
    <mergeCell ref="M194:N194"/>
    <mergeCell ref="Q194:R196"/>
    <mergeCell ref="D195:G195"/>
    <mergeCell ref="H195:L195"/>
    <mergeCell ref="M195:N195"/>
    <mergeCell ref="D196:G196"/>
    <mergeCell ref="H196:L196"/>
    <mergeCell ref="M196:N196"/>
    <mergeCell ref="D210:E210"/>
    <mergeCell ref="F210:N210"/>
    <mergeCell ref="P210:Q210"/>
    <mergeCell ref="R210:S210"/>
    <mergeCell ref="D211:E211"/>
    <mergeCell ref="F211:N211"/>
    <mergeCell ref="R211:S211"/>
    <mergeCell ref="C212:E212"/>
    <mergeCell ref="F212:N212"/>
    <mergeCell ref="P212:Q212"/>
    <mergeCell ref="R212:S212"/>
    <mergeCell ref="C213:E213"/>
    <mergeCell ref="F213:N213"/>
    <mergeCell ref="R213:S213"/>
    <mergeCell ref="D214:G214"/>
    <mergeCell ref="H214:L214"/>
    <mergeCell ref="M214:N214"/>
    <mergeCell ref="Q214:R214"/>
    <mergeCell ref="Q215:R216"/>
    <mergeCell ref="D215:G215"/>
    <mergeCell ref="H215:L215"/>
    <mergeCell ref="M215:N215"/>
    <mergeCell ref="D216:G216"/>
    <mergeCell ref="H216:L216"/>
    <mergeCell ref="M216:N216"/>
    <mergeCell ref="D232:E232"/>
    <mergeCell ref="F232:M232"/>
    <mergeCell ref="O232:P232"/>
    <mergeCell ref="Q232:S232"/>
    <mergeCell ref="D233:E233"/>
    <mergeCell ref="F233:M233"/>
    <mergeCell ref="Q233:S233"/>
    <mergeCell ref="C234:I234"/>
    <mergeCell ref="L234:S234"/>
    <mergeCell ref="C235:D235"/>
    <mergeCell ref="L235:M235"/>
    <mergeCell ref="R235:S235"/>
    <mergeCell ref="C236:D236"/>
    <mergeCell ref="L236:M236"/>
    <mergeCell ref="R236:S238"/>
    <mergeCell ref="C237:D237"/>
    <mergeCell ref="L237:M237"/>
    <mergeCell ref="C238:D238"/>
    <mergeCell ref="L238:M238"/>
    <mergeCell ref="D242:E242"/>
    <mergeCell ref="F242:N242"/>
    <mergeCell ref="P242:Q242"/>
    <mergeCell ref="R242:S242"/>
    <mergeCell ref="D243:E243"/>
    <mergeCell ref="F243:N243"/>
    <mergeCell ref="R243:S243"/>
    <mergeCell ref="C244:E244"/>
    <mergeCell ref="F244:N244"/>
    <mergeCell ref="P244:Q244"/>
    <mergeCell ref="R244:S244"/>
    <mergeCell ref="C245:E245"/>
    <mergeCell ref="F245:N245"/>
    <mergeCell ref="R245:S245"/>
    <mergeCell ref="D246:G246"/>
    <mergeCell ref="H246:L246"/>
    <mergeCell ref="M246:N246"/>
    <mergeCell ref="Q246:R246"/>
    <mergeCell ref="D247:G247"/>
    <mergeCell ref="H247:L247"/>
    <mergeCell ref="M247:N247"/>
    <mergeCell ref="Q247:R251"/>
    <mergeCell ref="D248:G248"/>
    <mergeCell ref="H248:L248"/>
    <mergeCell ref="M248:N248"/>
    <mergeCell ref="D249:G249"/>
    <mergeCell ref="H249:L249"/>
    <mergeCell ref="M249:N249"/>
    <mergeCell ref="D250:G250"/>
    <mergeCell ref="H250:L250"/>
    <mergeCell ref="M250:N250"/>
    <mergeCell ref="D251:G251"/>
    <mergeCell ref="H251:L251"/>
    <mergeCell ref="M251:N251"/>
    <mergeCell ref="D255:E255"/>
    <mergeCell ref="F255:M255"/>
    <mergeCell ref="O255:P255"/>
    <mergeCell ref="Q255:S255"/>
    <mergeCell ref="D256:E256"/>
    <mergeCell ref="F256:M256"/>
    <mergeCell ref="Q256:S256"/>
    <mergeCell ref="C257:I257"/>
    <mergeCell ref="L257:S257"/>
    <mergeCell ref="C258:D258"/>
    <mergeCell ref="L258:M258"/>
    <mergeCell ref="R258:S258"/>
    <mergeCell ref="C259:D259"/>
    <mergeCell ref="L259:M259"/>
    <mergeCell ref="R259:S268"/>
    <mergeCell ref="C260:D260"/>
    <mergeCell ref="L260:M260"/>
    <mergeCell ref="C268:D268"/>
    <mergeCell ref="L268:M268"/>
    <mergeCell ref="C261:D261"/>
    <mergeCell ref="L261:M261"/>
    <mergeCell ref="C262:D262"/>
    <mergeCell ref="L262:M262"/>
    <mergeCell ref="C263:D263"/>
    <mergeCell ref="L263:M263"/>
    <mergeCell ref="C264:D264"/>
    <mergeCell ref="L264:M264"/>
    <mergeCell ref="C265:D265"/>
    <mergeCell ref="L265:M265"/>
    <mergeCell ref="C266:D266"/>
    <mergeCell ref="L266:M266"/>
    <mergeCell ref="C267:D267"/>
    <mergeCell ref="L267:M267"/>
    <mergeCell ref="C280:D280"/>
    <mergeCell ref="L280:M280"/>
    <mergeCell ref="R280:S280"/>
    <mergeCell ref="C281:D281"/>
    <mergeCell ref="L281:M281"/>
    <mergeCell ref="R281:S282"/>
    <mergeCell ref="C282:D282"/>
    <mergeCell ref="L282:M282"/>
    <mergeCell ref="C273:D273"/>
    <mergeCell ref="L273:M273"/>
    <mergeCell ref="R273:S273"/>
    <mergeCell ref="C274:D274"/>
    <mergeCell ref="L274:M274"/>
    <mergeCell ref="R274:S275"/>
    <mergeCell ref="C275:D275"/>
    <mergeCell ref="L275:M275"/>
    <mergeCell ref="D277:E277"/>
    <mergeCell ref="F277:M277"/>
    <mergeCell ref="O277:P277"/>
    <mergeCell ref="Q277:S277"/>
    <mergeCell ref="D278:E278"/>
    <mergeCell ref="F278:M278"/>
    <mergeCell ref="Q278:S278"/>
    <mergeCell ref="C279:I279"/>
    <mergeCell ref="L279:S279"/>
    <mergeCell ref="D270:E270"/>
    <mergeCell ref="F270:M270"/>
    <mergeCell ref="O270:P270"/>
    <mergeCell ref="Q270:S270"/>
    <mergeCell ref="D271:E271"/>
    <mergeCell ref="F271:M271"/>
    <mergeCell ref="Q271:S271"/>
    <mergeCell ref="C272:I272"/>
    <mergeCell ref="L272:S272"/>
    <mergeCell ref="D296:E296"/>
    <mergeCell ref="F296:N296"/>
    <mergeCell ref="P296:Q296"/>
    <mergeCell ref="R296:S296"/>
    <mergeCell ref="D297:E297"/>
    <mergeCell ref="F297:N297"/>
    <mergeCell ref="R297:S297"/>
    <mergeCell ref="C298:E298"/>
    <mergeCell ref="F298:N298"/>
    <mergeCell ref="P298:Q298"/>
    <mergeCell ref="R298:S298"/>
    <mergeCell ref="C299:E299"/>
    <mergeCell ref="F299:N299"/>
    <mergeCell ref="R299:S299"/>
    <mergeCell ref="D300:G300"/>
    <mergeCell ref="H300:L300"/>
    <mergeCell ref="M300:N300"/>
    <mergeCell ref="Q300:R300"/>
    <mergeCell ref="D305:G305"/>
    <mergeCell ref="H305:L305"/>
    <mergeCell ref="M305:N305"/>
    <mergeCell ref="Q305:R306"/>
    <mergeCell ref="D306:G306"/>
    <mergeCell ref="H306:L306"/>
    <mergeCell ref="M306:N306"/>
    <mergeCell ref="D301:G301"/>
    <mergeCell ref="H301:L301"/>
    <mergeCell ref="M301:N301"/>
    <mergeCell ref="D304:G304"/>
    <mergeCell ref="H304:L304"/>
    <mergeCell ref="M304:N304"/>
    <mergeCell ref="D302:G302"/>
    <mergeCell ref="H302:L302"/>
    <mergeCell ref="M302:N302"/>
    <mergeCell ref="D303:G303"/>
    <mergeCell ref="H303:L303"/>
    <mergeCell ref="M303:N303"/>
    <mergeCell ref="D310:E310"/>
    <mergeCell ref="F310:N310"/>
    <mergeCell ref="P310:Q310"/>
    <mergeCell ref="R310:S310"/>
    <mergeCell ref="D311:E311"/>
    <mergeCell ref="F311:N311"/>
    <mergeCell ref="R311:S311"/>
    <mergeCell ref="C312:E312"/>
    <mergeCell ref="F312:N312"/>
    <mergeCell ref="P312:Q312"/>
    <mergeCell ref="R312:S312"/>
    <mergeCell ref="C313:E313"/>
    <mergeCell ref="F313:N313"/>
    <mergeCell ref="R313:S313"/>
    <mergeCell ref="D314:G314"/>
    <mergeCell ref="H314:L314"/>
    <mergeCell ref="M314:N314"/>
    <mergeCell ref="Q314:R314"/>
    <mergeCell ref="L323:M323"/>
    <mergeCell ref="L324:M324"/>
    <mergeCell ref="L325:M325"/>
    <mergeCell ref="R323:S326"/>
    <mergeCell ref="L326:M326"/>
    <mergeCell ref="D320:E320"/>
    <mergeCell ref="R322:S322"/>
    <mergeCell ref="D315:G315"/>
    <mergeCell ref="H315:L315"/>
    <mergeCell ref="M315:N315"/>
    <mergeCell ref="Q315:R315"/>
    <mergeCell ref="D319:E319"/>
    <mergeCell ref="F319:M319"/>
    <mergeCell ref="O319:P319"/>
    <mergeCell ref="Q319:S319"/>
    <mergeCell ref="F320:M320"/>
    <mergeCell ref="Q320:S320"/>
    <mergeCell ref="C321:I321"/>
    <mergeCell ref="L321:S321"/>
    <mergeCell ref="C322:D322"/>
    <mergeCell ref="L322:M322"/>
    <mergeCell ref="D343:E343"/>
    <mergeCell ref="F343:N343"/>
    <mergeCell ref="P343:Q343"/>
    <mergeCell ref="R343:S343"/>
    <mergeCell ref="D344:E344"/>
    <mergeCell ref="F344:N344"/>
    <mergeCell ref="R344:S344"/>
    <mergeCell ref="C345:E345"/>
    <mergeCell ref="F345:N345"/>
    <mergeCell ref="P345:Q345"/>
    <mergeCell ref="R345:S345"/>
    <mergeCell ref="C346:E346"/>
    <mergeCell ref="F346:N346"/>
    <mergeCell ref="R346:S346"/>
    <mergeCell ref="D347:G347"/>
    <mergeCell ref="H347:L347"/>
    <mergeCell ref="M347:N347"/>
    <mergeCell ref="Q347:R347"/>
    <mergeCell ref="D348:G348"/>
    <mergeCell ref="H348:L348"/>
    <mergeCell ref="M348:N348"/>
    <mergeCell ref="Q348:R3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EBB1D-22E8-48A2-BD9C-4D23FA6BE51C}">
  <dimension ref="A1:R53"/>
  <sheetViews>
    <sheetView topLeftCell="A35" workbookViewId="0">
      <selection activeCell="F54" sqref="F54"/>
    </sheetView>
  </sheetViews>
  <sheetFormatPr baseColWidth="10" defaultRowHeight="15" x14ac:dyDescent="0.25"/>
  <cols>
    <col min="1" max="2" width="2.7109375" customWidth="1"/>
    <col min="3" max="3" width="4" style="3" bestFit="1" customWidth="1"/>
    <col min="4" max="4" width="7.85546875" style="3" bestFit="1" customWidth="1"/>
    <col min="5" max="5" width="18.140625" style="3" bestFit="1" customWidth="1"/>
    <col min="6" max="6" width="9.7109375" style="3" bestFit="1" customWidth="1"/>
    <col min="7" max="7" width="13.42578125" style="3" customWidth="1"/>
    <col min="8" max="10" width="8.7109375" style="3" customWidth="1"/>
    <col min="11" max="11" width="8.7109375" style="4" customWidth="1"/>
    <col min="12" max="13" width="2.7109375" customWidth="1"/>
    <col min="15" max="15" width="7.140625" bestFit="1" customWidth="1"/>
    <col min="16" max="16" width="20.85546875" bestFit="1" customWidth="1"/>
    <col min="17" max="17" width="7.5703125" bestFit="1" customWidth="1"/>
    <col min="18" max="18" width="128.28515625" bestFit="1" customWidth="1"/>
  </cols>
  <sheetData>
    <row r="1" spans="3:18" ht="15.75" thickBot="1" x14ac:dyDescent="0.3">
      <c r="C1" s="199" t="s">
        <v>54</v>
      </c>
      <c r="D1" s="200"/>
      <c r="E1" s="200"/>
      <c r="F1" s="200"/>
      <c r="G1" s="200"/>
      <c r="H1" s="200"/>
      <c r="I1" s="200"/>
      <c r="J1" s="200"/>
      <c r="K1" s="201"/>
      <c r="O1" s="5" t="s">
        <v>10</v>
      </c>
      <c r="P1" s="5" t="s">
        <v>24</v>
      </c>
      <c r="Q1" s="5" t="s">
        <v>31</v>
      </c>
      <c r="R1" s="5" t="s">
        <v>25</v>
      </c>
    </row>
    <row r="2" spans="3:18" ht="15.75" thickBot="1" x14ac:dyDescent="0.3">
      <c r="C2" s="202"/>
      <c r="D2" s="203"/>
      <c r="E2" s="203"/>
      <c r="F2" s="203"/>
      <c r="G2" s="203"/>
      <c r="H2" s="203"/>
      <c r="I2" s="203"/>
      <c r="J2" s="203"/>
      <c r="K2" s="204"/>
      <c r="O2" s="4">
        <v>1</v>
      </c>
      <c r="P2" s="4" t="s">
        <v>34</v>
      </c>
      <c r="Q2" s="4" t="s">
        <v>32</v>
      </c>
      <c r="R2" s="4" t="s">
        <v>47</v>
      </c>
    </row>
    <row r="3" spans="3:18" ht="15.75" thickBot="1" x14ac:dyDescent="0.3">
      <c r="C3" s="207" t="s">
        <v>1</v>
      </c>
      <c r="D3" s="207" t="s">
        <v>10</v>
      </c>
      <c r="E3" s="207" t="s">
        <v>55</v>
      </c>
      <c r="F3" s="207" t="s">
        <v>56</v>
      </c>
      <c r="G3" s="207" t="s">
        <v>12</v>
      </c>
      <c r="H3" s="209" t="s">
        <v>57</v>
      </c>
      <c r="I3" s="210"/>
      <c r="J3" s="210"/>
      <c r="K3" s="211"/>
      <c r="O3" s="4">
        <v>2</v>
      </c>
      <c r="P3" s="4" t="s">
        <v>34</v>
      </c>
      <c r="Q3" s="4" t="s">
        <v>33</v>
      </c>
      <c r="R3" s="4" t="s">
        <v>47</v>
      </c>
    </row>
    <row r="4" spans="3:18" ht="15.75" thickBot="1" x14ac:dyDescent="0.3">
      <c r="C4" s="208"/>
      <c r="D4" s="208"/>
      <c r="E4" s="208"/>
      <c r="F4" s="208"/>
      <c r="G4" s="208"/>
      <c r="H4" s="29" t="s">
        <v>58</v>
      </c>
      <c r="I4" s="29" t="s">
        <v>59</v>
      </c>
      <c r="J4" s="29" t="s">
        <v>60</v>
      </c>
      <c r="K4" s="30" t="s">
        <v>61</v>
      </c>
      <c r="O4" s="4">
        <v>3</v>
      </c>
      <c r="P4" s="4" t="s">
        <v>42</v>
      </c>
      <c r="Q4" s="4" t="s">
        <v>32</v>
      </c>
      <c r="R4" s="4" t="s">
        <v>48</v>
      </c>
    </row>
    <row r="5" spans="3:18" ht="15.75" thickBot="1" x14ac:dyDescent="0.3">
      <c r="C5" s="24">
        <v>25</v>
      </c>
      <c r="D5" s="24">
        <v>1</v>
      </c>
      <c r="E5" s="24" t="s">
        <v>151</v>
      </c>
      <c r="F5" s="24">
        <v>8</v>
      </c>
      <c r="G5" s="24" t="s">
        <v>172</v>
      </c>
      <c r="H5" s="78">
        <v>45661</v>
      </c>
      <c r="I5" s="78">
        <v>45661</v>
      </c>
      <c r="J5" s="78">
        <v>45661</v>
      </c>
      <c r="K5" s="82">
        <v>45663</v>
      </c>
      <c r="O5" s="4">
        <v>4</v>
      </c>
      <c r="P5" s="4" t="s">
        <v>43</v>
      </c>
      <c r="Q5" s="4" t="s">
        <v>32</v>
      </c>
      <c r="R5" s="4" t="s">
        <v>49</v>
      </c>
    </row>
    <row r="6" spans="3:18" ht="15.75" thickBot="1" x14ac:dyDescent="0.3">
      <c r="C6" s="24">
        <v>53</v>
      </c>
      <c r="D6" s="24">
        <v>21</v>
      </c>
      <c r="E6" s="24" t="s">
        <v>158</v>
      </c>
      <c r="F6" s="24">
        <v>4</v>
      </c>
      <c r="G6" s="24">
        <v>67918000</v>
      </c>
      <c r="H6" s="78">
        <v>45665</v>
      </c>
      <c r="I6" s="78">
        <v>45665</v>
      </c>
      <c r="J6" s="78">
        <v>45665</v>
      </c>
      <c r="K6" s="82">
        <v>45665</v>
      </c>
      <c r="O6" s="4">
        <v>5</v>
      </c>
      <c r="P6" s="4" t="s">
        <v>35</v>
      </c>
      <c r="Q6" s="4" t="s">
        <v>32</v>
      </c>
      <c r="R6" s="4" t="s">
        <v>50</v>
      </c>
    </row>
    <row r="7" spans="3:18" ht="15.75" thickBot="1" x14ac:dyDescent="0.3">
      <c r="C7" s="24">
        <v>69</v>
      </c>
      <c r="D7" s="24">
        <v>1</v>
      </c>
      <c r="E7" s="24" t="s">
        <v>151</v>
      </c>
      <c r="F7" s="24">
        <f>268-F8-F10-F14-F16-F19-F20-F21-F22-F24-F26-F29-F36-F41-F47</f>
        <v>38</v>
      </c>
      <c r="G7" s="24" t="s">
        <v>172</v>
      </c>
      <c r="H7" s="78">
        <v>45667</v>
      </c>
      <c r="I7" s="78">
        <v>45667</v>
      </c>
      <c r="J7" s="78">
        <v>45669</v>
      </c>
      <c r="K7" s="82"/>
      <c r="O7" s="4">
        <v>6</v>
      </c>
      <c r="P7" s="4" t="s">
        <v>35</v>
      </c>
      <c r="Q7" s="4" t="s">
        <v>33</v>
      </c>
      <c r="R7" s="4" t="s">
        <v>50</v>
      </c>
    </row>
    <row r="8" spans="3:18" ht="15.75" thickBot="1" x14ac:dyDescent="0.3">
      <c r="C8" s="24">
        <v>69</v>
      </c>
      <c r="D8" s="24">
        <v>1</v>
      </c>
      <c r="E8" s="24" t="s">
        <v>151</v>
      </c>
      <c r="F8" s="24">
        <v>32</v>
      </c>
      <c r="G8" s="24" t="s">
        <v>172</v>
      </c>
      <c r="H8" s="78">
        <v>45667</v>
      </c>
      <c r="I8" s="78">
        <v>45667</v>
      </c>
      <c r="J8" s="78">
        <v>45669</v>
      </c>
      <c r="K8" s="82">
        <v>45673</v>
      </c>
      <c r="O8" s="4">
        <v>7</v>
      </c>
      <c r="P8" s="4" t="s">
        <v>36</v>
      </c>
      <c r="Q8" s="4" t="s">
        <v>32</v>
      </c>
      <c r="R8" s="4" t="s">
        <v>44</v>
      </c>
    </row>
    <row r="9" spans="3:18" ht="15.75" thickBot="1" x14ac:dyDescent="0.3">
      <c r="C9" s="3">
        <v>98</v>
      </c>
      <c r="D9" s="3">
        <v>1</v>
      </c>
      <c r="E9" s="3" t="s">
        <v>151</v>
      </c>
      <c r="F9" s="3">
        <v>1</v>
      </c>
      <c r="G9" s="3" t="s">
        <v>297</v>
      </c>
      <c r="H9" s="98">
        <v>45673</v>
      </c>
      <c r="I9" s="98">
        <v>45673</v>
      </c>
      <c r="J9" s="98">
        <v>45673</v>
      </c>
      <c r="K9" s="99">
        <v>45673</v>
      </c>
      <c r="O9" s="4">
        <v>8</v>
      </c>
      <c r="P9" s="4" t="s">
        <v>36</v>
      </c>
      <c r="Q9" s="4" t="s">
        <v>33</v>
      </c>
      <c r="R9" s="4" t="s">
        <v>44</v>
      </c>
    </row>
    <row r="10" spans="3:18" ht="15.75" thickBot="1" x14ac:dyDescent="0.3">
      <c r="C10" s="24">
        <v>69</v>
      </c>
      <c r="D10" s="24">
        <v>21</v>
      </c>
      <c r="E10" s="24" t="s">
        <v>158</v>
      </c>
      <c r="F10" s="24">
        <v>4</v>
      </c>
      <c r="G10" s="24" t="s">
        <v>230</v>
      </c>
      <c r="H10" s="78">
        <v>45667</v>
      </c>
      <c r="I10" s="78">
        <v>45667</v>
      </c>
      <c r="J10" s="78">
        <v>45669</v>
      </c>
      <c r="K10" s="82">
        <v>45674</v>
      </c>
      <c r="O10" s="4">
        <v>9</v>
      </c>
      <c r="P10" s="4" t="s">
        <v>37</v>
      </c>
      <c r="Q10" s="4" t="s">
        <v>32</v>
      </c>
      <c r="R10" s="4" t="s">
        <v>45</v>
      </c>
    </row>
    <row r="11" spans="3:18" ht="15.75" thickBot="1" x14ac:dyDescent="0.3">
      <c r="C11" s="3">
        <v>106</v>
      </c>
      <c r="D11" s="24">
        <v>21</v>
      </c>
      <c r="E11" s="24" t="s">
        <v>158</v>
      </c>
      <c r="F11" s="3">
        <v>4</v>
      </c>
      <c r="G11" s="3" t="s">
        <v>230</v>
      </c>
      <c r="H11" s="98">
        <v>45667</v>
      </c>
      <c r="I11" s="98">
        <v>45667</v>
      </c>
      <c r="J11" s="98">
        <v>45669</v>
      </c>
      <c r="K11" s="99">
        <v>45674</v>
      </c>
      <c r="O11" s="4">
        <v>10</v>
      </c>
      <c r="P11" s="4" t="s">
        <v>38</v>
      </c>
      <c r="Q11" s="4" t="s">
        <v>41</v>
      </c>
      <c r="R11" s="4" t="s">
        <v>46</v>
      </c>
    </row>
    <row r="12" spans="3:18" ht="15.75" thickBot="1" x14ac:dyDescent="0.3">
      <c r="C12" s="24">
        <v>110</v>
      </c>
      <c r="D12" s="24">
        <v>18</v>
      </c>
      <c r="E12" s="24" t="s">
        <v>256</v>
      </c>
      <c r="F12" s="24">
        <v>19</v>
      </c>
      <c r="G12" s="24" t="s">
        <v>248</v>
      </c>
      <c r="H12" s="78">
        <v>45674</v>
      </c>
      <c r="I12" s="78">
        <v>45674</v>
      </c>
      <c r="J12" s="78">
        <v>45676</v>
      </c>
      <c r="K12" s="82">
        <v>45678</v>
      </c>
      <c r="O12" s="4">
        <v>11</v>
      </c>
      <c r="P12" s="4" t="s">
        <v>39</v>
      </c>
      <c r="Q12" s="4" t="s">
        <v>32</v>
      </c>
      <c r="R12" s="4" t="s">
        <v>52</v>
      </c>
    </row>
    <row r="13" spans="3:18" ht="15.75" thickBot="1" x14ac:dyDescent="0.3">
      <c r="C13" s="24">
        <v>99</v>
      </c>
      <c r="D13" s="24">
        <v>14</v>
      </c>
      <c r="E13" s="24" t="s">
        <v>151</v>
      </c>
      <c r="F13" s="24">
        <v>14</v>
      </c>
      <c r="G13" s="24" t="s">
        <v>231</v>
      </c>
      <c r="H13" s="78">
        <v>45673</v>
      </c>
      <c r="I13" s="78">
        <v>45680</v>
      </c>
      <c r="J13" s="78">
        <v>45680</v>
      </c>
      <c r="K13" s="82">
        <v>45682</v>
      </c>
      <c r="O13" s="4">
        <v>12</v>
      </c>
      <c r="P13" s="4" t="s">
        <v>39</v>
      </c>
      <c r="Q13" s="4" t="s">
        <v>33</v>
      </c>
      <c r="R13" s="4" t="s">
        <v>52</v>
      </c>
    </row>
    <row r="14" spans="3:18" ht="15.75" thickBot="1" x14ac:dyDescent="0.3">
      <c r="C14" s="24">
        <v>69</v>
      </c>
      <c r="D14" s="24">
        <v>1</v>
      </c>
      <c r="E14" s="24" t="s">
        <v>151</v>
      </c>
      <c r="F14" s="24">
        <v>44</v>
      </c>
      <c r="G14" s="24" t="s">
        <v>172</v>
      </c>
      <c r="H14" s="78">
        <v>45667</v>
      </c>
      <c r="I14" s="78">
        <v>45667</v>
      </c>
      <c r="J14" s="78">
        <v>45669</v>
      </c>
      <c r="K14" s="82">
        <v>45683</v>
      </c>
      <c r="O14" s="4">
        <v>13</v>
      </c>
      <c r="P14" s="4" t="s">
        <v>40</v>
      </c>
      <c r="Q14" s="4" t="s">
        <v>32</v>
      </c>
      <c r="R14" s="4" t="s">
        <v>51</v>
      </c>
    </row>
    <row r="15" spans="3:18" ht="15.75" thickBot="1" x14ac:dyDescent="0.3">
      <c r="C15" s="24">
        <v>150</v>
      </c>
      <c r="D15" s="24">
        <v>21</v>
      </c>
      <c r="E15" s="24" t="s">
        <v>158</v>
      </c>
      <c r="F15" s="24">
        <v>41</v>
      </c>
      <c r="G15" s="24" t="s">
        <v>230</v>
      </c>
      <c r="H15" s="78">
        <v>45684</v>
      </c>
      <c r="I15" s="78">
        <v>45684</v>
      </c>
      <c r="J15" s="78">
        <v>45685</v>
      </c>
      <c r="K15" s="82">
        <v>45687</v>
      </c>
      <c r="O15" s="4">
        <v>14</v>
      </c>
      <c r="P15" s="4" t="s">
        <v>36</v>
      </c>
      <c r="Q15" s="4" t="s">
        <v>32</v>
      </c>
      <c r="R15" s="4" t="s">
        <v>53</v>
      </c>
    </row>
    <row r="16" spans="3:18" ht="15.75" thickBot="1" x14ac:dyDescent="0.3">
      <c r="C16" s="24">
        <v>69</v>
      </c>
      <c r="D16" s="24">
        <v>1</v>
      </c>
      <c r="E16" s="24" t="s">
        <v>151</v>
      </c>
      <c r="F16" s="24">
        <v>30</v>
      </c>
      <c r="G16" s="24" t="s">
        <v>172</v>
      </c>
      <c r="H16" s="78">
        <v>45667</v>
      </c>
      <c r="I16" s="78">
        <v>45667</v>
      </c>
      <c r="J16" s="78">
        <v>45669</v>
      </c>
      <c r="K16" s="82">
        <v>45690</v>
      </c>
      <c r="O16" s="4">
        <v>15</v>
      </c>
      <c r="P16" s="4" t="s">
        <v>36</v>
      </c>
      <c r="Q16" s="4" t="s">
        <v>33</v>
      </c>
      <c r="R16" s="4" t="s">
        <v>53</v>
      </c>
    </row>
    <row r="17" spans="1:18" ht="15.75" thickBot="1" x14ac:dyDescent="0.3">
      <c r="C17" s="3">
        <v>167</v>
      </c>
      <c r="D17" s="3">
        <v>7</v>
      </c>
      <c r="E17" s="3" t="s">
        <v>274</v>
      </c>
      <c r="F17" s="3">
        <v>8</v>
      </c>
      <c r="G17" s="3" t="s">
        <v>275</v>
      </c>
      <c r="H17" s="98">
        <v>45687</v>
      </c>
      <c r="I17" s="98">
        <v>45687</v>
      </c>
      <c r="J17" s="98">
        <v>45690</v>
      </c>
      <c r="K17" s="99">
        <v>45692</v>
      </c>
      <c r="O17" s="6">
        <v>15</v>
      </c>
      <c r="P17" s="6" t="s">
        <v>36</v>
      </c>
      <c r="Q17" s="6" t="s">
        <v>33</v>
      </c>
      <c r="R17" s="6" t="s">
        <v>53</v>
      </c>
    </row>
    <row r="18" spans="1:18" ht="15.75" thickBot="1" x14ac:dyDescent="0.3">
      <c r="C18" s="3">
        <v>167</v>
      </c>
      <c r="D18" s="3">
        <v>9</v>
      </c>
      <c r="E18" s="3" t="s">
        <v>37</v>
      </c>
      <c r="F18" s="3">
        <v>1</v>
      </c>
      <c r="G18" s="3" t="s">
        <v>275</v>
      </c>
      <c r="H18" s="98">
        <v>45687</v>
      </c>
      <c r="I18" s="98">
        <v>45687</v>
      </c>
      <c r="J18" s="98">
        <v>45690</v>
      </c>
      <c r="K18" s="99">
        <v>45692</v>
      </c>
    </row>
    <row r="19" spans="1:18" ht="15.75" thickBot="1" x14ac:dyDescent="0.3">
      <c r="C19" s="24">
        <v>69</v>
      </c>
      <c r="D19" s="24">
        <v>1</v>
      </c>
      <c r="E19" s="24" t="s">
        <v>151</v>
      </c>
      <c r="F19" s="24">
        <v>26</v>
      </c>
      <c r="G19" s="24" t="s">
        <v>172</v>
      </c>
      <c r="H19" s="78">
        <v>45667</v>
      </c>
      <c r="I19" s="78">
        <v>45667</v>
      </c>
      <c r="J19" s="78">
        <v>45669</v>
      </c>
      <c r="K19" s="82">
        <v>45695</v>
      </c>
    </row>
    <row r="20" spans="1:18" ht="15.75" thickBot="1" x14ac:dyDescent="0.3">
      <c r="C20" s="24">
        <v>69</v>
      </c>
      <c r="D20" s="24">
        <v>1</v>
      </c>
      <c r="E20" s="24" t="s">
        <v>151</v>
      </c>
      <c r="F20" s="24">
        <v>12</v>
      </c>
      <c r="G20" s="24" t="s">
        <v>172</v>
      </c>
      <c r="H20" s="78">
        <v>45667</v>
      </c>
      <c r="I20" s="78">
        <v>45667</v>
      </c>
      <c r="J20" s="78">
        <v>45669</v>
      </c>
      <c r="K20" s="82">
        <v>45698</v>
      </c>
    </row>
    <row r="21" spans="1:18" ht="15.75" thickBot="1" x14ac:dyDescent="0.3">
      <c r="C21" s="24">
        <v>69</v>
      </c>
      <c r="D21" s="24">
        <v>1</v>
      </c>
      <c r="E21" s="24" t="s">
        <v>151</v>
      </c>
      <c r="F21" s="24">
        <v>18</v>
      </c>
      <c r="G21" s="24" t="s">
        <v>172</v>
      </c>
      <c r="H21" s="78">
        <v>45667</v>
      </c>
      <c r="I21" s="78">
        <v>45667</v>
      </c>
      <c r="J21" s="78">
        <v>45669</v>
      </c>
      <c r="K21" s="82">
        <v>45701</v>
      </c>
    </row>
    <row r="22" spans="1:18" ht="15.75" thickBot="1" x14ac:dyDescent="0.3">
      <c r="C22" s="24">
        <v>69</v>
      </c>
      <c r="D22" s="24">
        <v>1</v>
      </c>
      <c r="E22" s="24" t="s">
        <v>151</v>
      </c>
      <c r="F22" s="24">
        <v>9</v>
      </c>
      <c r="G22" s="24" t="s">
        <v>172</v>
      </c>
      <c r="H22" s="78">
        <v>45667</v>
      </c>
      <c r="I22" s="78">
        <v>45667</v>
      </c>
      <c r="J22" s="78">
        <v>45669</v>
      </c>
      <c r="K22" s="82">
        <v>45704</v>
      </c>
    </row>
    <row r="23" spans="1:18" ht="15.75" thickBot="1" x14ac:dyDescent="0.3">
      <c r="B23" s="49"/>
      <c r="C23" s="24"/>
      <c r="D23" s="24">
        <v>1</v>
      </c>
      <c r="E23" s="24" t="s">
        <v>151</v>
      </c>
      <c r="F23" s="24">
        <f>4-F30-F37</f>
        <v>0</v>
      </c>
      <c r="G23" s="24" t="s">
        <v>172</v>
      </c>
      <c r="H23" s="78">
        <v>45667</v>
      </c>
      <c r="I23" s="78">
        <v>45667</v>
      </c>
      <c r="J23" s="78">
        <v>45669</v>
      </c>
      <c r="K23" s="82"/>
    </row>
    <row r="24" spans="1:18" ht="15.75" thickBot="1" x14ac:dyDescent="0.3">
      <c r="C24" s="24">
        <v>69</v>
      </c>
      <c r="D24" s="24">
        <v>1</v>
      </c>
      <c r="E24" s="24" t="s">
        <v>151</v>
      </c>
      <c r="F24" s="24">
        <f>2+4+3+5</f>
        <v>14</v>
      </c>
      <c r="G24" s="24" t="s">
        <v>159</v>
      </c>
      <c r="H24" s="78">
        <v>45667</v>
      </c>
      <c r="I24" s="78">
        <v>45667</v>
      </c>
      <c r="J24" s="78">
        <v>45669</v>
      </c>
      <c r="K24" s="82">
        <v>45707</v>
      </c>
    </row>
    <row r="25" spans="1:18" ht="15.75" thickBot="1" x14ac:dyDescent="0.3">
      <c r="C25" s="24">
        <v>278</v>
      </c>
      <c r="D25" s="24">
        <v>1</v>
      </c>
      <c r="E25" s="24" t="s">
        <v>151</v>
      </c>
      <c r="F25" s="24">
        <v>20</v>
      </c>
      <c r="G25" s="24" t="s">
        <v>159</v>
      </c>
      <c r="H25" s="78">
        <v>45667</v>
      </c>
      <c r="I25" s="78">
        <v>45667</v>
      </c>
      <c r="J25" s="78">
        <v>45669</v>
      </c>
      <c r="K25" s="82">
        <v>45707</v>
      </c>
    </row>
    <row r="26" spans="1:18" ht="15.75" thickBot="1" x14ac:dyDescent="0.3">
      <c r="C26" s="24">
        <v>69</v>
      </c>
      <c r="D26" s="24">
        <v>1</v>
      </c>
      <c r="E26" s="24" t="s">
        <v>151</v>
      </c>
      <c r="F26" s="24">
        <v>24</v>
      </c>
      <c r="G26" s="24" t="s">
        <v>172</v>
      </c>
      <c r="H26" s="78">
        <v>45667</v>
      </c>
      <c r="I26" s="78">
        <v>45667</v>
      </c>
      <c r="J26" s="78">
        <v>45669</v>
      </c>
      <c r="K26" s="82">
        <v>45712</v>
      </c>
    </row>
    <row r="27" spans="1:18" ht="15.75" thickBot="1" x14ac:dyDescent="0.3">
      <c r="C27" s="24">
        <v>327</v>
      </c>
      <c r="D27" s="24"/>
      <c r="E27" s="24" t="s">
        <v>360</v>
      </c>
      <c r="F27" s="24">
        <v>30</v>
      </c>
      <c r="G27" s="24" t="s">
        <v>349</v>
      </c>
      <c r="H27" s="78">
        <v>45712</v>
      </c>
      <c r="I27" s="78">
        <v>45713</v>
      </c>
      <c r="J27" s="78">
        <v>45713</v>
      </c>
      <c r="K27" s="82">
        <v>45718</v>
      </c>
    </row>
    <row r="28" spans="1:18" ht="15.75" thickBot="1" x14ac:dyDescent="0.3">
      <c r="B28" s="87"/>
      <c r="C28" s="24">
        <v>369</v>
      </c>
      <c r="D28" s="24">
        <v>5</v>
      </c>
      <c r="E28" s="24" t="s">
        <v>379</v>
      </c>
      <c r="F28" s="24">
        <v>1</v>
      </c>
      <c r="G28" s="24" t="s">
        <v>275</v>
      </c>
      <c r="H28" s="78">
        <v>45714</v>
      </c>
      <c r="I28" s="78">
        <v>45717</v>
      </c>
      <c r="J28" s="78">
        <v>45719</v>
      </c>
      <c r="K28" s="82">
        <v>45721</v>
      </c>
    </row>
    <row r="29" spans="1:18" ht="15.75" thickBot="1" x14ac:dyDescent="0.3">
      <c r="B29" s="87"/>
      <c r="C29" s="24">
        <v>69</v>
      </c>
      <c r="D29" s="24">
        <v>5</v>
      </c>
      <c r="E29" s="24" t="s">
        <v>379</v>
      </c>
      <c r="F29" s="24">
        <v>12</v>
      </c>
      <c r="G29" s="24" t="s">
        <v>275</v>
      </c>
      <c r="H29" s="78">
        <v>45714</v>
      </c>
      <c r="I29" s="78">
        <v>45717</v>
      </c>
      <c r="J29" s="78">
        <v>45719</v>
      </c>
      <c r="K29" s="82">
        <v>45721</v>
      </c>
    </row>
    <row r="30" spans="1:18" ht="15.75" thickBot="1" x14ac:dyDescent="0.3">
      <c r="A30" s="49"/>
      <c r="B30" s="87"/>
      <c r="D30" s="24">
        <v>5</v>
      </c>
      <c r="E30" s="24" t="s">
        <v>379</v>
      </c>
      <c r="F30" s="3">
        <v>3</v>
      </c>
      <c r="G30" s="24" t="s">
        <v>275</v>
      </c>
      <c r="H30" s="78">
        <v>45714</v>
      </c>
      <c r="I30" s="78">
        <v>45717</v>
      </c>
      <c r="J30" s="78">
        <v>45719</v>
      </c>
      <c r="K30" s="82">
        <v>45721</v>
      </c>
    </row>
    <row r="31" spans="1:18" ht="15.75" thickBot="1" x14ac:dyDescent="0.3">
      <c r="C31" s="24"/>
      <c r="D31" s="24">
        <v>18</v>
      </c>
      <c r="E31" s="24" t="s">
        <v>379</v>
      </c>
      <c r="F31" s="24">
        <v>11</v>
      </c>
      <c r="G31" s="24" t="s">
        <v>248</v>
      </c>
      <c r="H31" s="78">
        <v>45714</v>
      </c>
      <c r="I31" s="78">
        <v>45717</v>
      </c>
      <c r="J31" s="78">
        <v>45722</v>
      </c>
      <c r="K31" s="82">
        <v>45722</v>
      </c>
    </row>
    <row r="32" spans="1:18" ht="15.75" thickBot="1" x14ac:dyDescent="0.3">
      <c r="C32" s="24"/>
      <c r="D32" s="24">
        <v>21</v>
      </c>
      <c r="E32" s="24" t="s">
        <v>158</v>
      </c>
      <c r="F32" s="24">
        <v>5</v>
      </c>
      <c r="G32" s="24" t="s">
        <v>230</v>
      </c>
      <c r="H32" s="78">
        <v>45726</v>
      </c>
      <c r="I32" s="78">
        <v>45726</v>
      </c>
      <c r="J32" s="78">
        <v>45726</v>
      </c>
      <c r="K32" s="82">
        <v>45726</v>
      </c>
    </row>
    <row r="33" spans="1:11" ht="15.75" thickBot="1" x14ac:dyDescent="0.3">
      <c r="C33" s="24"/>
      <c r="D33" s="24">
        <v>18</v>
      </c>
      <c r="E33" s="24" t="s">
        <v>379</v>
      </c>
      <c r="F33" s="24">
        <v>3</v>
      </c>
      <c r="G33" s="24" t="s">
        <v>248</v>
      </c>
      <c r="H33" s="78">
        <v>45726</v>
      </c>
      <c r="I33" s="78">
        <v>45726</v>
      </c>
      <c r="J33" s="78">
        <v>45726</v>
      </c>
      <c r="K33" s="82">
        <v>45727</v>
      </c>
    </row>
    <row r="34" spans="1:11" ht="15.75" thickBot="1" x14ac:dyDescent="0.3">
      <c r="C34" s="5"/>
      <c r="D34" s="24">
        <v>21</v>
      </c>
      <c r="E34" s="24" t="s">
        <v>158</v>
      </c>
      <c r="F34" s="24">
        <v>18</v>
      </c>
      <c r="G34" s="24" t="s">
        <v>230</v>
      </c>
      <c r="H34" s="78">
        <v>45725</v>
      </c>
      <c r="I34" s="78">
        <v>45727</v>
      </c>
      <c r="J34" s="78">
        <v>45727</v>
      </c>
      <c r="K34" s="82">
        <v>45729</v>
      </c>
    </row>
    <row r="35" spans="1:11" ht="15.75" thickBot="1" x14ac:dyDescent="0.3">
      <c r="B35" s="87"/>
      <c r="C35" s="24"/>
      <c r="D35" s="24">
        <v>1</v>
      </c>
      <c r="E35" s="24" t="s">
        <v>151</v>
      </c>
      <c r="F35" s="24">
        <v>7</v>
      </c>
      <c r="G35" s="24" t="s">
        <v>297</v>
      </c>
      <c r="H35" s="78">
        <v>45728</v>
      </c>
      <c r="I35" s="78">
        <v>45667</v>
      </c>
      <c r="J35" s="78">
        <v>45730</v>
      </c>
      <c r="K35" s="82">
        <v>45733</v>
      </c>
    </row>
    <row r="36" spans="1:11" ht="15.75" thickBot="1" x14ac:dyDescent="0.3">
      <c r="B36" s="87"/>
      <c r="C36" s="24">
        <v>69</v>
      </c>
      <c r="D36" s="24">
        <v>1</v>
      </c>
      <c r="E36" s="24" t="s">
        <v>151</v>
      </c>
      <c r="F36" s="24">
        <v>2</v>
      </c>
      <c r="G36" s="24" t="s">
        <v>297</v>
      </c>
      <c r="H36" s="78">
        <v>45728</v>
      </c>
      <c r="I36" s="78">
        <v>45667</v>
      </c>
      <c r="J36" s="78">
        <v>45730</v>
      </c>
      <c r="K36" s="82">
        <v>45733</v>
      </c>
    </row>
    <row r="37" spans="1:11" ht="15.75" thickBot="1" x14ac:dyDescent="0.3">
      <c r="A37" s="49"/>
      <c r="B37" s="87"/>
      <c r="C37" s="24"/>
      <c r="D37" s="24">
        <v>1</v>
      </c>
      <c r="E37" s="24" t="s">
        <v>151</v>
      </c>
      <c r="F37" s="24">
        <v>1</v>
      </c>
      <c r="G37" s="24" t="s">
        <v>297</v>
      </c>
      <c r="H37" s="78">
        <v>45728</v>
      </c>
      <c r="I37" s="78">
        <v>45667</v>
      </c>
      <c r="J37" s="78">
        <v>45730</v>
      </c>
      <c r="K37" s="82">
        <v>45733</v>
      </c>
    </row>
    <row r="38" spans="1:11" ht="15.75" thickBot="1" x14ac:dyDescent="0.3">
      <c r="C38" s="24">
        <v>427</v>
      </c>
      <c r="D38" s="24">
        <v>1</v>
      </c>
      <c r="E38" s="24" t="s">
        <v>151</v>
      </c>
      <c r="F38" s="24">
        <f>288-F39-F42-F48-F50</f>
        <v>271</v>
      </c>
      <c r="G38" s="24" t="s">
        <v>172</v>
      </c>
      <c r="H38" s="78">
        <v>45730</v>
      </c>
      <c r="I38" s="78">
        <v>45730</v>
      </c>
      <c r="J38" s="78">
        <v>45739</v>
      </c>
      <c r="K38" s="82"/>
    </row>
    <row r="39" spans="1:11" ht="15.75" thickBot="1" x14ac:dyDescent="0.3">
      <c r="C39" s="24">
        <v>427</v>
      </c>
      <c r="D39" s="24">
        <v>1</v>
      </c>
      <c r="E39" s="24" t="s">
        <v>151</v>
      </c>
      <c r="F39" s="24">
        <v>6</v>
      </c>
      <c r="G39" s="24" t="s">
        <v>172</v>
      </c>
      <c r="H39" s="78">
        <v>45730</v>
      </c>
      <c r="I39" s="78">
        <v>45730</v>
      </c>
      <c r="J39" s="78">
        <v>45739</v>
      </c>
      <c r="K39" s="82">
        <v>45741</v>
      </c>
    </row>
    <row r="40" spans="1:11" ht="15.75" thickBot="1" x14ac:dyDescent="0.3">
      <c r="B40" s="13"/>
      <c r="C40" s="24"/>
      <c r="D40" s="24">
        <v>1</v>
      </c>
      <c r="E40" s="24" t="s">
        <v>151</v>
      </c>
      <c r="F40" s="24">
        <v>2</v>
      </c>
      <c r="G40" s="24" t="s">
        <v>297</v>
      </c>
      <c r="H40" s="78">
        <v>45728</v>
      </c>
      <c r="I40" s="78">
        <v>45667</v>
      </c>
      <c r="J40" s="78">
        <v>45746</v>
      </c>
      <c r="K40" s="82">
        <v>45748</v>
      </c>
    </row>
    <row r="41" spans="1:11" ht="15.75" thickBot="1" x14ac:dyDescent="0.3">
      <c r="B41" s="13"/>
      <c r="C41" s="24">
        <v>69</v>
      </c>
      <c r="D41" s="24">
        <v>1</v>
      </c>
      <c r="E41" s="24" t="s">
        <v>151</v>
      </c>
      <c r="F41" s="24">
        <v>1</v>
      </c>
      <c r="G41" s="24" t="s">
        <v>297</v>
      </c>
      <c r="H41" s="78">
        <v>45728</v>
      </c>
      <c r="I41" s="78">
        <v>45667</v>
      </c>
      <c r="J41" s="78">
        <v>45730</v>
      </c>
      <c r="K41" s="82">
        <v>45748</v>
      </c>
    </row>
    <row r="42" spans="1:11" ht="15.75" thickBot="1" x14ac:dyDescent="0.3">
      <c r="B42" s="13"/>
      <c r="C42" s="24">
        <v>427</v>
      </c>
      <c r="D42" s="24">
        <v>1</v>
      </c>
      <c r="E42" s="24" t="s">
        <v>151</v>
      </c>
      <c r="F42" s="24">
        <v>3</v>
      </c>
      <c r="G42" s="24" t="s">
        <v>297</v>
      </c>
      <c r="H42" s="78">
        <v>45730</v>
      </c>
      <c r="I42" s="78">
        <v>45730</v>
      </c>
      <c r="J42" s="78">
        <v>45739</v>
      </c>
      <c r="K42" s="82">
        <v>45748</v>
      </c>
    </row>
    <row r="43" spans="1:11" ht="15.75" thickBot="1" x14ac:dyDescent="0.3">
      <c r="B43" s="13"/>
      <c r="C43" s="24"/>
      <c r="D43" s="24">
        <v>1</v>
      </c>
      <c r="E43" s="24" t="s">
        <v>419</v>
      </c>
      <c r="F43" s="24">
        <v>1</v>
      </c>
      <c r="G43" s="24" t="s">
        <v>297</v>
      </c>
      <c r="H43" s="78">
        <v>45728</v>
      </c>
      <c r="I43" s="78">
        <v>45667</v>
      </c>
      <c r="J43" s="78">
        <v>45746</v>
      </c>
      <c r="K43" s="82">
        <v>45748</v>
      </c>
    </row>
    <row r="44" spans="1:11" ht="15.75" thickBot="1" x14ac:dyDescent="0.3">
      <c r="A44" s="103"/>
      <c r="B44" s="104"/>
      <c r="C44" s="24"/>
      <c r="D44" s="24">
        <v>1</v>
      </c>
      <c r="E44" s="24" t="s">
        <v>151</v>
      </c>
      <c r="F44" s="24">
        <f>3-F45</f>
        <v>2</v>
      </c>
      <c r="G44" s="24" t="s">
        <v>172</v>
      </c>
      <c r="H44" s="78">
        <v>45751</v>
      </c>
      <c r="I44" s="78">
        <v>45667</v>
      </c>
      <c r="J44" s="78">
        <v>45751</v>
      </c>
      <c r="K44" s="82">
        <v>45753</v>
      </c>
    </row>
    <row r="45" spans="1:11" ht="15.75" thickBot="1" x14ac:dyDescent="0.3">
      <c r="A45" s="103"/>
      <c r="B45" s="104"/>
      <c r="C45" s="24"/>
      <c r="D45" s="24">
        <v>1</v>
      </c>
      <c r="E45" s="24" t="s">
        <v>151</v>
      </c>
      <c r="F45" s="24">
        <v>1</v>
      </c>
      <c r="G45" s="24" t="s">
        <v>297</v>
      </c>
      <c r="H45" s="78">
        <v>45751</v>
      </c>
      <c r="I45" s="78">
        <v>45667</v>
      </c>
      <c r="J45" s="78">
        <v>45751</v>
      </c>
      <c r="K45" s="82">
        <v>45753</v>
      </c>
    </row>
    <row r="46" spans="1:11" ht="15.75" thickBot="1" x14ac:dyDescent="0.3">
      <c r="B46" s="104"/>
      <c r="C46" s="24"/>
      <c r="D46" s="24">
        <v>1</v>
      </c>
      <c r="E46" s="24" t="s">
        <v>151</v>
      </c>
      <c r="F46" s="24">
        <v>7</v>
      </c>
      <c r="G46" s="24" t="s">
        <v>297</v>
      </c>
      <c r="H46" s="78">
        <v>45751</v>
      </c>
      <c r="I46" s="78">
        <v>45667</v>
      </c>
      <c r="J46" s="78">
        <v>45751</v>
      </c>
      <c r="K46" s="82">
        <v>45753</v>
      </c>
    </row>
    <row r="47" spans="1:11" ht="15.75" thickBot="1" x14ac:dyDescent="0.3">
      <c r="B47" s="104"/>
      <c r="C47" s="24">
        <v>69</v>
      </c>
      <c r="D47" s="24">
        <v>1</v>
      </c>
      <c r="E47" s="24" t="s">
        <v>151</v>
      </c>
      <c r="F47" s="24">
        <v>2</v>
      </c>
      <c r="G47" s="24" t="s">
        <v>297</v>
      </c>
      <c r="H47" s="78">
        <v>45667</v>
      </c>
      <c r="I47" s="78">
        <v>45667</v>
      </c>
      <c r="J47" s="78">
        <v>45669</v>
      </c>
      <c r="K47" s="82">
        <v>45753</v>
      </c>
    </row>
    <row r="48" spans="1:11" ht="15.75" thickBot="1" x14ac:dyDescent="0.3">
      <c r="B48" s="104"/>
      <c r="C48" s="24">
        <v>427</v>
      </c>
      <c r="D48" s="24">
        <v>1</v>
      </c>
      <c r="E48" s="24" t="s">
        <v>151</v>
      </c>
      <c r="F48" s="24">
        <v>4</v>
      </c>
      <c r="G48" s="24" t="s">
        <v>297</v>
      </c>
      <c r="H48" s="78">
        <v>45730</v>
      </c>
      <c r="I48" s="78">
        <v>45730</v>
      </c>
      <c r="J48" s="78">
        <v>45739</v>
      </c>
      <c r="K48" s="82">
        <v>45753</v>
      </c>
    </row>
    <row r="49" spans="2:11" ht="15.75" thickBot="1" x14ac:dyDescent="0.3">
      <c r="C49" s="24"/>
      <c r="D49" s="24"/>
      <c r="E49" s="24" t="s">
        <v>427</v>
      </c>
      <c r="F49" s="24">
        <v>19</v>
      </c>
      <c r="G49" s="24" t="s">
        <v>428</v>
      </c>
      <c r="H49" s="78">
        <v>45754</v>
      </c>
      <c r="I49" s="78">
        <v>45754</v>
      </c>
      <c r="J49" s="78">
        <v>45755</v>
      </c>
      <c r="K49" s="82">
        <v>45758</v>
      </c>
    </row>
    <row r="50" spans="2:11" ht="15.75" thickBot="1" x14ac:dyDescent="0.3">
      <c r="C50" s="24">
        <v>427</v>
      </c>
      <c r="D50" s="24">
        <v>1</v>
      </c>
      <c r="E50" s="24" t="s">
        <v>151</v>
      </c>
      <c r="F50" s="24">
        <v>4</v>
      </c>
      <c r="G50" s="24" t="s">
        <v>297</v>
      </c>
      <c r="H50" s="78">
        <v>45730</v>
      </c>
      <c r="I50" s="78">
        <v>45730</v>
      </c>
      <c r="J50" s="78">
        <v>45739</v>
      </c>
      <c r="K50" s="82">
        <v>45756</v>
      </c>
    </row>
    <row r="51" spans="2:11" ht="15.75" thickBot="1" x14ac:dyDescent="0.3">
      <c r="B51" s="13"/>
      <c r="C51" s="24"/>
      <c r="D51" s="24">
        <v>1</v>
      </c>
      <c r="E51" s="24" t="s">
        <v>151</v>
      </c>
      <c r="F51" s="24">
        <v>3</v>
      </c>
      <c r="G51" s="24" t="s">
        <v>230</v>
      </c>
      <c r="H51" s="78">
        <v>45758</v>
      </c>
      <c r="I51" s="78">
        <v>45667</v>
      </c>
      <c r="J51" s="78">
        <v>45758</v>
      </c>
      <c r="K51" s="82">
        <v>45761</v>
      </c>
    </row>
    <row r="52" spans="2:11" ht="15.75" thickBot="1" x14ac:dyDescent="0.3">
      <c r="B52" s="13"/>
      <c r="C52" s="24">
        <v>69</v>
      </c>
      <c r="D52" s="24">
        <v>1</v>
      </c>
      <c r="E52" s="24" t="s">
        <v>151</v>
      </c>
      <c r="F52" s="24">
        <v>14</v>
      </c>
      <c r="G52" s="24" t="s">
        <v>230</v>
      </c>
      <c r="H52" s="78">
        <v>45728</v>
      </c>
      <c r="I52" s="78">
        <v>45667</v>
      </c>
      <c r="J52" s="78">
        <v>45730</v>
      </c>
      <c r="K52" s="82">
        <v>45761</v>
      </c>
    </row>
    <row r="53" spans="2:11" ht="15.75" thickBot="1" x14ac:dyDescent="0.3">
      <c r="B53" s="13"/>
      <c r="C53" s="24">
        <v>427</v>
      </c>
      <c r="D53" s="24">
        <v>1</v>
      </c>
      <c r="E53" s="24" t="s">
        <v>151</v>
      </c>
      <c r="F53" s="24">
        <v>23</v>
      </c>
      <c r="G53" s="24" t="s">
        <v>230</v>
      </c>
      <c r="H53" s="78">
        <v>45730</v>
      </c>
      <c r="I53" s="78">
        <v>45730</v>
      </c>
      <c r="J53" s="78">
        <v>45739</v>
      </c>
      <c r="K53" s="82">
        <v>45761</v>
      </c>
    </row>
  </sheetData>
  <mergeCells count="7">
    <mergeCell ref="C1:K2"/>
    <mergeCell ref="C3:C4"/>
    <mergeCell ref="D3:D4"/>
    <mergeCell ref="E3:E4"/>
    <mergeCell ref="F3:F4"/>
    <mergeCell ref="G3:G4"/>
    <mergeCell ref="H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7E0B-7DC8-4116-8952-2147DC4DB6C1}">
  <dimension ref="C1:R28"/>
  <sheetViews>
    <sheetView workbookViewId="0">
      <selection activeCell="P19" sqref="P19"/>
    </sheetView>
  </sheetViews>
  <sheetFormatPr baseColWidth="10" defaultRowHeight="15" x14ac:dyDescent="0.25"/>
  <cols>
    <col min="1" max="2" width="2.7109375" customWidth="1"/>
    <col min="3" max="3" width="4" style="3" bestFit="1" customWidth="1"/>
    <col min="4" max="4" width="6.7109375" style="3" bestFit="1" customWidth="1"/>
    <col min="5" max="5" width="7.85546875" style="4" bestFit="1" customWidth="1"/>
    <col min="6" max="6" width="20.7109375" bestFit="1" customWidth="1"/>
    <col min="7" max="7" width="9.7109375" style="4" bestFit="1" customWidth="1"/>
    <col min="8" max="8" width="13.42578125" customWidth="1"/>
    <col min="9" max="9" width="11.42578125" style="4"/>
    <col min="10" max="10" width="11.42578125" style="14"/>
    <col min="11" max="12" width="2.7109375" customWidth="1"/>
    <col min="15" max="15" width="7.140625" style="4" bestFit="1" customWidth="1"/>
    <col min="16" max="16" width="20.85546875" style="4" bestFit="1" customWidth="1"/>
    <col min="17" max="17" width="7.5703125" style="4" bestFit="1" customWidth="1"/>
    <col min="18" max="18" width="128.28515625" style="4" bestFit="1" customWidth="1"/>
  </cols>
  <sheetData>
    <row r="1" spans="3:18" ht="15.75" thickBot="1" x14ac:dyDescent="0.3">
      <c r="C1" s="199" t="s">
        <v>62</v>
      </c>
      <c r="D1" s="200"/>
      <c r="E1" s="200"/>
      <c r="F1" s="200"/>
      <c r="G1" s="200"/>
      <c r="H1" s="200"/>
      <c r="I1" s="200"/>
      <c r="J1" s="201"/>
      <c r="O1" s="5" t="s">
        <v>10</v>
      </c>
      <c r="P1" s="5" t="s">
        <v>24</v>
      </c>
      <c r="Q1" s="5" t="s">
        <v>31</v>
      </c>
      <c r="R1" s="5" t="s">
        <v>25</v>
      </c>
    </row>
    <row r="2" spans="3:18" ht="15.75" thickBot="1" x14ac:dyDescent="0.3">
      <c r="C2" s="202"/>
      <c r="D2" s="203"/>
      <c r="E2" s="203"/>
      <c r="F2" s="203"/>
      <c r="G2" s="203"/>
      <c r="H2" s="203"/>
      <c r="I2" s="203"/>
      <c r="J2" s="204"/>
      <c r="O2" s="4">
        <v>1</v>
      </c>
      <c r="P2" s="4" t="s">
        <v>34</v>
      </c>
      <c r="Q2" s="4" t="s">
        <v>32</v>
      </c>
      <c r="R2" s="4" t="s">
        <v>47</v>
      </c>
    </row>
    <row r="3" spans="3:18" ht="15.75" thickBot="1" x14ac:dyDescent="0.3">
      <c r="C3" s="207" t="s">
        <v>1</v>
      </c>
      <c r="D3" s="207" t="s">
        <v>8</v>
      </c>
      <c r="E3" s="212" t="s">
        <v>10</v>
      </c>
      <c r="F3" s="214" t="s">
        <v>55</v>
      </c>
      <c r="G3" s="212" t="s">
        <v>56</v>
      </c>
      <c r="H3" s="214" t="s">
        <v>12</v>
      </c>
      <c r="I3" s="161" t="s">
        <v>63</v>
      </c>
      <c r="J3" s="162"/>
      <c r="O3" s="4">
        <v>2</v>
      </c>
      <c r="P3" s="4" t="s">
        <v>34</v>
      </c>
      <c r="Q3" s="4" t="s">
        <v>33</v>
      </c>
      <c r="R3" s="4" t="s">
        <v>47</v>
      </c>
    </row>
    <row r="4" spans="3:18" ht="15.75" thickBot="1" x14ac:dyDescent="0.3">
      <c r="C4" s="208"/>
      <c r="D4" s="208"/>
      <c r="E4" s="213"/>
      <c r="F4" s="215"/>
      <c r="G4" s="213"/>
      <c r="H4" s="215"/>
      <c r="I4" s="2" t="s">
        <v>64</v>
      </c>
      <c r="J4" s="31" t="s">
        <v>21</v>
      </c>
      <c r="O4" s="4">
        <v>3</v>
      </c>
      <c r="P4" s="4" t="s">
        <v>42</v>
      </c>
      <c r="Q4" s="4" t="s">
        <v>32</v>
      </c>
      <c r="R4" s="4" t="s">
        <v>48</v>
      </c>
    </row>
    <row r="5" spans="3:18" ht="15.75" thickBot="1" x14ac:dyDescent="0.3">
      <c r="C5" s="24">
        <v>54</v>
      </c>
      <c r="D5" s="78">
        <v>45665</v>
      </c>
      <c r="E5" s="5">
        <v>21</v>
      </c>
      <c r="F5" s="9" t="s">
        <v>158</v>
      </c>
      <c r="G5" s="5">
        <v>13</v>
      </c>
      <c r="H5" s="9">
        <v>67918000</v>
      </c>
      <c r="I5" s="5">
        <v>86</v>
      </c>
      <c r="J5" s="19">
        <f>I5*G5</f>
        <v>1118</v>
      </c>
      <c r="O5" s="4">
        <v>4</v>
      </c>
      <c r="P5" s="4" t="s">
        <v>43</v>
      </c>
      <c r="Q5" s="4" t="s">
        <v>32</v>
      </c>
      <c r="R5" s="4" t="s">
        <v>49</v>
      </c>
    </row>
    <row r="6" spans="3:18" x14ac:dyDescent="0.25">
      <c r="O6" s="4">
        <v>5</v>
      </c>
      <c r="P6" s="4" t="s">
        <v>35</v>
      </c>
      <c r="Q6" s="4" t="s">
        <v>32</v>
      </c>
      <c r="R6" s="4" t="s">
        <v>50</v>
      </c>
    </row>
    <row r="7" spans="3:18" x14ac:dyDescent="0.25">
      <c r="O7" s="4">
        <v>6</v>
      </c>
      <c r="P7" s="4" t="s">
        <v>35</v>
      </c>
      <c r="Q7" s="4" t="s">
        <v>33</v>
      </c>
      <c r="R7" s="4" t="s">
        <v>50</v>
      </c>
    </row>
    <row r="8" spans="3:18" x14ac:dyDescent="0.25">
      <c r="O8" s="4">
        <v>7</v>
      </c>
      <c r="P8" s="4" t="s">
        <v>36</v>
      </c>
      <c r="Q8" s="4" t="s">
        <v>32</v>
      </c>
      <c r="R8" s="4" t="s">
        <v>44</v>
      </c>
    </row>
    <row r="9" spans="3:18" x14ac:dyDescent="0.25">
      <c r="O9" s="4">
        <v>8</v>
      </c>
      <c r="P9" s="4" t="s">
        <v>36</v>
      </c>
      <c r="Q9" s="4" t="s">
        <v>33</v>
      </c>
      <c r="R9" s="4" t="s">
        <v>44</v>
      </c>
    </row>
    <row r="10" spans="3:18" x14ac:dyDescent="0.25">
      <c r="O10" s="4">
        <v>9</v>
      </c>
      <c r="P10" s="4" t="s">
        <v>123</v>
      </c>
      <c r="Q10" s="4" t="s">
        <v>33</v>
      </c>
      <c r="R10" s="4" t="s">
        <v>44</v>
      </c>
    </row>
    <row r="11" spans="3:18" x14ac:dyDescent="0.25">
      <c r="O11" s="4">
        <v>10</v>
      </c>
      <c r="P11" s="4" t="s">
        <v>37</v>
      </c>
      <c r="Q11" s="4" t="s">
        <v>32</v>
      </c>
      <c r="R11" s="4" t="s">
        <v>45</v>
      </c>
    </row>
    <row r="12" spans="3:18" x14ac:dyDescent="0.25">
      <c r="O12" s="4">
        <v>11</v>
      </c>
      <c r="P12" s="4" t="s">
        <v>38</v>
      </c>
      <c r="Q12" s="4" t="s">
        <v>41</v>
      </c>
      <c r="R12" s="4" t="s">
        <v>46</v>
      </c>
    </row>
    <row r="13" spans="3:18" x14ac:dyDescent="0.25">
      <c r="O13" s="4">
        <v>12</v>
      </c>
      <c r="P13" s="4" t="s">
        <v>39</v>
      </c>
      <c r="Q13" s="4" t="s">
        <v>32</v>
      </c>
      <c r="R13" s="4" t="s">
        <v>52</v>
      </c>
    </row>
    <row r="14" spans="3:18" x14ac:dyDescent="0.25">
      <c r="O14" s="4">
        <v>13</v>
      </c>
      <c r="P14" s="4" t="s">
        <v>39</v>
      </c>
      <c r="Q14" s="4" t="s">
        <v>33</v>
      </c>
      <c r="R14" s="4" t="s">
        <v>52</v>
      </c>
    </row>
    <row r="15" spans="3:18" x14ac:dyDescent="0.25">
      <c r="O15" s="4">
        <v>14</v>
      </c>
      <c r="P15" s="4" t="s">
        <v>40</v>
      </c>
      <c r="Q15" s="4" t="s">
        <v>32</v>
      </c>
      <c r="R15" s="4" t="s">
        <v>51</v>
      </c>
    </row>
    <row r="16" spans="3:18" x14ac:dyDescent="0.25">
      <c r="O16" s="4">
        <v>15</v>
      </c>
      <c r="P16" s="4" t="s">
        <v>36</v>
      </c>
      <c r="Q16" s="4" t="s">
        <v>32</v>
      </c>
      <c r="R16" s="4" t="s">
        <v>53</v>
      </c>
    </row>
    <row r="17" spans="15:18" x14ac:dyDescent="0.25">
      <c r="O17" s="4">
        <v>16</v>
      </c>
      <c r="P17" s="4" t="s">
        <v>36</v>
      </c>
      <c r="Q17" s="4" t="s">
        <v>33</v>
      </c>
      <c r="R17" s="4" t="s">
        <v>53</v>
      </c>
    </row>
    <row r="18" spans="15:18" x14ac:dyDescent="0.25">
      <c r="O18" s="4">
        <v>17</v>
      </c>
      <c r="P18" s="4" t="str">
        <f>P17</f>
        <v>Chamarras acolchadas</v>
      </c>
      <c r="Q18" s="4" t="str">
        <f t="shared" ref="Q18:R18" si="0">Q17</f>
        <v>Dama</v>
      </c>
      <c r="R18" s="4" t="str">
        <f t="shared" si="0"/>
        <v>Taslan arrugado, fibra, polar plusher, terry, pretina común del color de la prenda, cierrre coreano normal del color de la prenda, llave especial</v>
      </c>
    </row>
    <row r="19" spans="15:18" x14ac:dyDescent="0.25">
      <c r="O19" s="4">
        <v>18</v>
      </c>
      <c r="P19" s="4" t="s">
        <v>124</v>
      </c>
      <c r="Q19" s="4" t="s">
        <v>32</v>
      </c>
      <c r="R19" s="4" t="s">
        <v>125</v>
      </c>
    </row>
    <row r="20" spans="15:18" x14ac:dyDescent="0.25">
      <c r="O20" s="4">
        <v>19</v>
      </c>
      <c r="P20" s="4" t="s">
        <v>124</v>
      </c>
      <c r="Q20" s="4" t="s">
        <v>33</v>
      </c>
      <c r="R20" s="4" t="s">
        <v>125</v>
      </c>
    </row>
    <row r="21" spans="15:18" x14ac:dyDescent="0.25">
      <c r="O21" s="4">
        <v>20</v>
      </c>
      <c r="P21" s="4" t="s">
        <v>126</v>
      </c>
      <c r="Q21" s="4" t="s">
        <v>32</v>
      </c>
      <c r="R21" t="s">
        <v>127</v>
      </c>
    </row>
    <row r="22" spans="15:18" x14ac:dyDescent="0.25">
      <c r="O22" s="4">
        <v>21</v>
      </c>
      <c r="P22" s="4" t="s">
        <v>138</v>
      </c>
      <c r="Q22" s="4" t="s">
        <v>32</v>
      </c>
      <c r="R22" t="s">
        <v>128</v>
      </c>
    </row>
    <row r="23" spans="15:18" x14ac:dyDescent="0.25">
      <c r="O23" s="4">
        <v>22</v>
      </c>
      <c r="P23" s="4" t="s">
        <v>39</v>
      </c>
      <c r="Q23" s="4" t="s">
        <v>32</v>
      </c>
      <c r="R23" s="4" t="s">
        <v>129</v>
      </c>
    </row>
    <row r="24" spans="15:18" x14ac:dyDescent="0.25">
      <c r="R24"/>
    </row>
    <row r="25" spans="15:18" x14ac:dyDescent="0.25">
      <c r="R25"/>
    </row>
    <row r="26" spans="15:18" x14ac:dyDescent="0.25">
      <c r="R26"/>
    </row>
    <row r="27" spans="15:18" x14ac:dyDescent="0.25">
      <c r="R27"/>
    </row>
    <row r="28" spans="15:18" x14ac:dyDescent="0.25">
      <c r="R28"/>
    </row>
  </sheetData>
  <mergeCells count="8">
    <mergeCell ref="C1:J2"/>
    <mergeCell ref="C3:C4"/>
    <mergeCell ref="E3:E4"/>
    <mergeCell ref="F3:F4"/>
    <mergeCell ref="G3:G4"/>
    <mergeCell ref="H3:H4"/>
    <mergeCell ref="I3:J3"/>
    <mergeCell ref="D3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5F67-6EB2-4CF1-A9EE-DEB0D436CABB}">
  <dimension ref="C1:U1125"/>
  <sheetViews>
    <sheetView workbookViewId="0">
      <pane ySplit="3" topLeftCell="A34" activePane="bottomLeft" state="frozen"/>
      <selection pane="bottomLeft" activeCell="C52" sqref="C52"/>
    </sheetView>
  </sheetViews>
  <sheetFormatPr baseColWidth="10" defaultRowHeight="15" x14ac:dyDescent="0.25"/>
  <cols>
    <col min="1" max="2" width="2.7109375" customWidth="1"/>
    <col min="3" max="3" width="4" style="3" bestFit="1" customWidth="1"/>
    <col min="4" max="4" width="6.7109375" style="4" bestFit="1" customWidth="1"/>
    <col min="5" max="5" width="7.85546875" bestFit="1" customWidth="1"/>
    <col min="6" max="6" width="24.85546875" style="3" bestFit="1" customWidth="1"/>
    <col min="7" max="7" width="9.7109375" style="4" bestFit="1" customWidth="1"/>
    <col min="8" max="8" width="9.7109375" bestFit="1" customWidth="1"/>
    <col min="9" max="9" width="6" style="4" bestFit="1" customWidth="1"/>
    <col min="10" max="10" width="7" style="4" bestFit="1" customWidth="1"/>
    <col min="11" max="11" width="20.7109375" style="3" customWidth="1"/>
    <col min="12" max="13" width="10.140625" style="4" bestFit="1" customWidth="1"/>
    <col min="14" max="15" width="2.7109375" customWidth="1"/>
    <col min="16" max="17" width="5.7109375" customWidth="1"/>
    <col min="18" max="18" width="7.140625" style="4" bestFit="1" customWidth="1"/>
    <col min="19" max="19" width="20.85546875" style="4" bestFit="1" customWidth="1"/>
    <col min="20" max="20" width="7.5703125" style="4" bestFit="1" customWidth="1"/>
    <col min="21" max="21" width="128.28515625" style="4" bestFit="1" customWidth="1"/>
  </cols>
  <sheetData>
    <row r="1" spans="3:21" ht="15.75" customHeight="1" thickBot="1" x14ac:dyDescent="0.3">
      <c r="C1" s="199" t="s">
        <v>65</v>
      </c>
      <c r="D1" s="200"/>
      <c r="E1" s="200"/>
      <c r="F1" s="200"/>
      <c r="G1" s="200"/>
      <c r="H1" s="200"/>
      <c r="I1" s="200"/>
      <c r="J1" s="200"/>
      <c r="K1" s="200"/>
      <c r="L1" s="200"/>
      <c r="M1" s="201"/>
      <c r="R1" s="5" t="s">
        <v>10</v>
      </c>
      <c r="S1" s="5" t="s">
        <v>24</v>
      </c>
      <c r="T1" s="5" t="s">
        <v>31</v>
      </c>
      <c r="U1" s="5" t="s">
        <v>25</v>
      </c>
    </row>
    <row r="2" spans="3:21" ht="15.75" customHeight="1" thickBot="1" x14ac:dyDescent="0.3">
      <c r="C2" s="202"/>
      <c r="D2" s="203"/>
      <c r="E2" s="203"/>
      <c r="F2" s="203"/>
      <c r="G2" s="203"/>
      <c r="H2" s="203"/>
      <c r="I2" s="203"/>
      <c r="J2" s="203"/>
      <c r="K2" s="203"/>
      <c r="L2" s="203"/>
      <c r="M2" s="204"/>
      <c r="R2" s="4">
        <v>1</v>
      </c>
      <c r="S2" s="4" t="s">
        <v>34</v>
      </c>
      <c r="T2" s="4" t="s">
        <v>32</v>
      </c>
      <c r="U2" s="4" t="s">
        <v>47</v>
      </c>
    </row>
    <row r="3" spans="3:21" ht="15.75" thickBot="1" x14ac:dyDescent="0.3">
      <c r="C3" s="70" t="s">
        <v>1</v>
      </c>
      <c r="D3" s="55" t="s">
        <v>8</v>
      </c>
      <c r="E3" s="56" t="s">
        <v>10</v>
      </c>
      <c r="F3" s="70" t="s">
        <v>55</v>
      </c>
      <c r="G3" s="55" t="s">
        <v>56</v>
      </c>
      <c r="H3" s="56" t="s">
        <v>18</v>
      </c>
      <c r="I3" s="55" t="s">
        <v>16</v>
      </c>
      <c r="J3" s="55" t="s">
        <v>63</v>
      </c>
      <c r="K3" s="70" t="s">
        <v>67</v>
      </c>
      <c r="L3" s="55" t="s">
        <v>66</v>
      </c>
      <c r="M3" s="55" t="s">
        <v>22</v>
      </c>
      <c r="R3" s="4">
        <v>2</v>
      </c>
      <c r="S3" s="4" t="s">
        <v>34</v>
      </c>
      <c r="T3" s="4" t="s">
        <v>33</v>
      </c>
      <c r="U3" s="4" t="s">
        <v>47</v>
      </c>
    </row>
    <row r="4" spans="3:21" ht="15.75" thickBot="1" x14ac:dyDescent="0.3">
      <c r="C4" s="228" t="s">
        <v>122</v>
      </c>
      <c r="D4" s="229"/>
      <c r="E4" s="229"/>
      <c r="F4" s="229"/>
      <c r="G4" s="229"/>
      <c r="H4" s="229"/>
      <c r="I4" s="229"/>
      <c r="J4" s="229"/>
      <c r="K4" s="229"/>
      <c r="L4" s="229"/>
      <c r="M4" s="230"/>
      <c r="R4" s="4">
        <v>3</v>
      </c>
      <c r="S4" s="4" t="s">
        <v>42</v>
      </c>
      <c r="T4" s="4" t="s">
        <v>32</v>
      </c>
      <c r="U4" s="4" t="s">
        <v>48</v>
      </c>
    </row>
    <row r="5" spans="3:21" ht="15" customHeight="1" thickBot="1" x14ac:dyDescent="0.3">
      <c r="C5" s="65">
        <v>4</v>
      </c>
      <c r="D5" s="63"/>
      <c r="E5" s="79">
        <v>1</v>
      </c>
      <c r="F5" s="65" t="s">
        <v>151</v>
      </c>
      <c r="G5" s="63">
        <v>1</v>
      </c>
      <c r="H5" s="64" t="s">
        <v>154</v>
      </c>
      <c r="I5" s="63" t="s">
        <v>86</v>
      </c>
      <c r="J5" s="63">
        <v>100</v>
      </c>
      <c r="K5" s="71" t="s">
        <v>155</v>
      </c>
      <c r="L5" s="63" t="s">
        <v>153</v>
      </c>
      <c r="M5" s="63">
        <f>G5*J5</f>
        <v>100</v>
      </c>
      <c r="R5" s="4">
        <v>4</v>
      </c>
      <c r="S5" s="4" t="s">
        <v>43</v>
      </c>
      <c r="T5" s="4" t="s">
        <v>32</v>
      </c>
      <c r="U5" s="4" t="s">
        <v>49</v>
      </c>
    </row>
    <row r="6" spans="3:21" ht="15.75" thickBot="1" x14ac:dyDescent="0.3">
      <c r="C6" s="62">
        <v>7</v>
      </c>
      <c r="D6" s="60"/>
      <c r="E6" s="67">
        <v>1</v>
      </c>
      <c r="F6" s="62" t="s">
        <v>151</v>
      </c>
      <c r="G6" s="60">
        <v>1</v>
      </c>
      <c r="H6" s="58" t="s">
        <v>156</v>
      </c>
      <c r="I6" s="60" t="s">
        <v>86</v>
      </c>
      <c r="J6" s="60">
        <v>100</v>
      </c>
      <c r="K6" s="72" t="s">
        <v>157</v>
      </c>
      <c r="L6" s="60" t="s">
        <v>153</v>
      </c>
      <c r="M6" s="60">
        <f>J6*G6</f>
        <v>100</v>
      </c>
      <c r="R6" s="4">
        <v>5</v>
      </c>
      <c r="S6" s="4" t="s">
        <v>35</v>
      </c>
      <c r="T6" s="4" t="s">
        <v>32</v>
      </c>
      <c r="U6" s="4" t="s">
        <v>50</v>
      </c>
    </row>
    <row r="7" spans="3:21" ht="15.75" thickBot="1" x14ac:dyDescent="0.3">
      <c r="C7" s="69">
        <v>8</v>
      </c>
      <c r="D7" s="66"/>
      <c r="E7" s="80">
        <v>1</v>
      </c>
      <c r="F7" s="69" t="s">
        <v>158</v>
      </c>
      <c r="G7" s="66">
        <v>1</v>
      </c>
      <c r="H7" s="68" t="s">
        <v>152</v>
      </c>
      <c r="I7" s="66" t="s">
        <v>87</v>
      </c>
      <c r="J7" s="66">
        <v>130</v>
      </c>
      <c r="K7" s="73" t="s">
        <v>159</v>
      </c>
      <c r="L7" s="66" t="s">
        <v>153</v>
      </c>
      <c r="M7" s="60">
        <f>J7*G7</f>
        <v>130</v>
      </c>
      <c r="R7" s="4">
        <v>6</v>
      </c>
      <c r="S7" s="4" t="s">
        <v>35</v>
      </c>
      <c r="T7" s="4" t="s">
        <v>33</v>
      </c>
      <c r="U7" s="4" t="s">
        <v>50</v>
      </c>
    </row>
    <row r="8" spans="3:21" ht="15.75" thickBot="1" x14ac:dyDescent="0.3">
      <c r="C8" s="216">
        <v>9</v>
      </c>
      <c r="D8" s="74"/>
      <c r="E8" s="219">
        <v>1</v>
      </c>
      <c r="F8" s="222" t="s">
        <v>151</v>
      </c>
      <c r="G8" s="59">
        <v>1</v>
      </c>
      <c r="H8" s="57" t="s">
        <v>152</v>
      </c>
      <c r="I8" s="59" t="s">
        <v>85</v>
      </c>
      <c r="J8" s="59">
        <v>100</v>
      </c>
      <c r="K8" s="109" t="s">
        <v>160</v>
      </c>
      <c r="L8" s="109" t="s">
        <v>153</v>
      </c>
      <c r="M8" s="67">
        <f t="shared" ref="M8:M71" si="0">J8*G8</f>
        <v>100</v>
      </c>
      <c r="R8" s="4">
        <v>7</v>
      </c>
      <c r="S8" s="4" t="s">
        <v>36</v>
      </c>
      <c r="T8" s="4" t="s">
        <v>32</v>
      </c>
      <c r="U8" s="4" t="s">
        <v>44</v>
      </c>
    </row>
    <row r="9" spans="3:21" ht="15.75" thickBot="1" x14ac:dyDescent="0.3">
      <c r="C9" s="218"/>
      <c r="D9" s="76"/>
      <c r="E9" s="221"/>
      <c r="F9" s="224"/>
      <c r="G9" s="6">
        <v>1</v>
      </c>
      <c r="H9" s="18" t="s">
        <v>156</v>
      </c>
      <c r="I9" s="6" t="s">
        <v>85</v>
      </c>
      <c r="J9" s="6">
        <v>100</v>
      </c>
      <c r="K9" s="110"/>
      <c r="L9" s="110"/>
      <c r="M9" s="67">
        <f>J9*G9</f>
        <v>100</v>
      </c>
      <c r="R9" s="4">
        <v>8</v>
      </c>
      <c r="S9" s="4" t="s">
        <v>36</v>
      </c>
      <c r="T9" s="4" t="s">
        <v>33</v>
      </c>
      <c r="U9" s="4" t="s">
        <v>44</v>
      </c>
    </row>
    <row r="10" spans="3:21" ht="15.75" thickBot="1" x14ac:dyDescent="0.3">
      <c r="C10" s="216">
        <v>12</v>
      </c>
      <c r="D10" s="74"/>
      <c r="E10" s="219">
        <v>1</v>
      </c>
      <c r="F10" s="222" t="s">
        <v>151</v>
      </c>
      <c r="G10" s="59">
        <v>1</v>
      </c>
      <c r="H10" s="57" t="s">
        <v>152</v>
      </c>
      <c r="I10" s="59" t="s">
        <v>87</v>
      </c>
      <c r="J10" s="59">
        <v>100</v>
      </c>
      <c r="K10" s="109" t="s">
        <v>161</v>
      </c>
      <c r="L10" s="109" t="s">
        <v>153</v>
      </c>
      <c r="M10" s="67">
        <f t="shared" ref="M10" si="1">J10*G10</f>
        <v>100</v>
      </c>
      <c r="R10" s="4">
        <v>9</v>
      </c>
      <c r="S10" s="4" t="s">
        <v>123</v>
      </c>
      <c r="T10" s="4" t="s">
        <v>33</v>
      </c>
      <c r="U10" s="4" t="s">
        <v>44</v>
      </c>
    </row>
    <row r="11" spans="3:21" ht="15.75" thickBot="1" x14ac:dyDescent="0.3">
      <c r="C11" s="218"/>
      <c r="D11" s="76"/>
      <c r="E11" s="221"/>
      <c r="F11" s="224"/>
      <c r="G11" s="6">
        <v>1</v>
      </c>
      <c r="H11" s="18" t="s">
        <v>154</v>
      </c>
      <c r="I11" s="6" t="s">
        <v>87</v>
      </c>
      <c r="J11" s="6">
        <v>100</v>
      </c>
      <c r="K11" s="110"/>
      <c r="L11" s="110"/>
      <c r="M11" s="67">
        <f>J11*G11</f>
        <v>100</v>
      </c>
      <c r="R11" s="4">
        <v>10</v>
      </c>
      <c r="S11" s="4" t="s">
        <v>37</v>
      </c>
      <c r="T11" s="4" t="s">
        <v>32</v>
      </c>
      <c r="U11" s="4" t="s">
        <v>45</v>
      </c>
    </row>
    <row r="12" spans="3:21" ht="15.75" thickBot="1" x14ac:dyDescent="0.3">
      <c r="C12" s="65">
        <v>13</v>
      </c>
      <c r="D12" s="63"/>
      <c r="E12" s="79">
        <v>1</v>
      </c>
      <c r="F12" s="65" t="s">
        <v>151</v>
      </c>
      <c r="G12" s="63">
        <v>1</v>
      </c>
      <c r="H12" s="64" t="s">
        <v>152</v>
      </c>
      <c r="I12" s="63" t="s">
        <v>86</v>
      </c>
      <c r="J12" s="59">
        <v>100</v>
      </c>
      <c r="K12" s="71" t="s">
        <v>161</v>
      </c>
      <c r="L12" s="63" t="s">
        <v>153</v>
      </c>
      <c r="M12" s="63">
        <f>J12*G12</f>
        <v>100</v>
      </c>
      <c r="R12" s="4">
        <v>11</v>
      </c>
      <c r="S12" s="4" t="s">
        <v>38</v>
      </c>
      <c r="T12" s="4" t="s">
        <v>41</v>
      </c>
      <c r="U12" s="4" t="s">
        <v>46</v>
      </c>
    </row>
    <row r="13" spans="3:21" ht="15.75" thickBot="1" x14ac:dyDescent="0.3">
      <c r="C13" s="216">
        <v>15</v>
      </c>
      <c r="D13" s="74"/>
      <c r="E13" s="219">
        <v>1</v>
      </c>
      <c r="F13" s="222" t="s">
        <v>151</v>
      </c>
      <c r="G13" s="59">
        <v>1</v>
      </c>
      <c r="H13" s="57" t="s">
        <v>152</v>
      </c>
      <c r="I13" s="61" t="s">
        <v>87</v>
      </c>
      <c r="J13" s="59">
        <f>280/3</f>
        <v>93.333333333333329</v>
      </c>
      <c r="K13" s="225" t="s">
        <v>163</v>
      </c>
      <c r="L13" s="109" t="s">
        <v>153</v>
      </c>
      <c r="M13" s="67">
        <f t="shared" ref="M13" si="2">J13*G13</f>
        <v>93.333333333333329</v>
      </c>
      <c r="R13" s="4">
        <v>12</v>
      </c>
      <c r="S13" s="4" t="s">
        <v>39</v>
      </c>
      <c r="T13" s="4" t="s">
        <v>32</v>
      </c>
      <c r="U13" s="4" t="s">
        <v>52</v>
      </c>
    </row>
    <row r="14" spans="3:21" ht="15.75" thickBot="1" x14ac:dyDescent="0.3">
      <c r="C14" s="217"/>
      <c r="D14" s="75"/>
      <c r="E14" s="220"/>
      <c r="F14" s="223"/>
      <c r="G14" s="66">
        <v>1</v>
      </c>
      <c r="H14" s="68" t="s">
        <v>156</v>
      </c>
      <c r="I14" s="69" t="s">
        <v>87</v>
      </c>
      <c r="J14" s="66">
        <f t="shared" ref="J14:J15" si="3">280/3</f>
        <v>93.333333333333329</v>
      </c>
      <c r="K14" s="226"/>
      <c r="L14" s="122"/>
      <c r="M14" s="67">
        <f t="shared" ref="M14:M22" si="4">J14*G14</f>
        <v>93.333333333333329</v>
      </c>
    </row>
    <row r="15" spans="3:21" ht="15.75" thickBot="1" x14ac:dyDescent="0.3">
      <c r="C15" s="218"/>
      <c r="D15" s="76"/>
      <c r="E15" s="221"/>
      <c r="F15" s="224"/>
      <c r="G15" s="6">
        <v>1</v>
      </c>
      <c r="H15" s="18" t="s">
        <v>162</v>
      </c>
      <c r="I15" s="36" t="s">
        <v>87</v>
      </c>
      <c r="J15" s="60">
        <f t="shared" si="3"/>
        <v>93.333333333333329</v>
      </c>
      <c r="K15" s="227"/>
      <c r="L15" s="110"/>
      <c r="M15" s="67">
        <f t="shared" si="4"/>
        <v>93.333333333333329</v>
      </c>
      <c r="R15" s="4">
        <v>13</v>
      </c>
      <c r="S15" s="4" t="s">
        <v>39</v>
      </c>
      <c r="T15" s="4" t="s">
        <v>33</v>
      </c>
      <c r="U15" s="4" t="s">
        <v>52</v>
      </c>
    </row>
    <row r="16" spans="3:21" ht="15.75" thickBot="1" x14ac:dyDescent="0.3">
      <c r="C16" s="65">
        <v>17</v>
      </c>
      <c r="D16" s="63"/>
      <c r="E16" s="79">
        <v>1</v>
      </c>
      <c r="F16" s="65" t="s">
        <v>151</v>
      </c>
      <c r="G16" s="63">
        <v>1</v>
      </c>
      <c r="H16" s="64" t="s">
        <v>152</v>
      </c>
      <c r="I16" s="63" t="s">
        <v>86</v>
      </c>
      <c r="J16" s="63">
        <v>80</v>
      </c>
      <c r="K16" s="71" t="s">
        <v>165</v>
      </c>
      <c r="L16" s="63" t="s">
        <v>166</v>
      </c>
      <c r="M16" s="63">
        <f t="shared" si="4"/>
        <v>80</v>
      </c>
      <c r="R16" s="4">
        <v>14</v>
      </c>
      <c r="S16" s="4" t="s">
        <v>40</v>
      </c>
      <c r="T16" s="4" t="s">
        <v>32</v>
      </c>
      <c r="U16" s="4" t="s">
        <v>51</v>
      </c>
    </row>
    <row r="17" spans="3:21" ht="15.75" thickBot="1" x14ac:dyDescent="0.3">
      <c r="C17" s="65">
        <v>18</v>
      </c>
      <c r="D17" s="63"/>
      <c r="E17" s="79">
        <v>1</v>
      </c>
      <c r="F17" s="65" t="s">
        <v>151</v>
      </c>
      <c r="G17" s="63">
        <v>1</v>
      </c>
      <c r="H17" s="64" t="s">
        <v>152</v>
      </c>
      <c r="I17" s="63" t="s">
        <v>86</v>
      </c>
      <c r="J17" s="63">
        <v>100</v>
      </c>
      <c r="K17" s="71" t="s">
        <v>161</v>
      </c>
      <c r="L17" s="63" t="s">
        <v>153</v>
      </c>
      <c r="M17" s="63">
        <f t="shared" si="4"/>
        <v>100</v>
      </c>
      <c r="R17" s="4">
        <v>15</v>
      </c>
      <c r="S17" s="4" t="s">
        <v>36</v>
      </c>
      <c r="T17" s="4" t="s">
        <v>32</v>
      </c>
      <c r="U17" s="4" t="s">
        <v>53</v>
      </c>
    </row>
    <row r="18" spans="3:21" ht="15.75" thickBot="1" x14ac:dyDescent="0.3">
      <c r="C18" s="65">
        <v>19</v>
      </c>
      <c r="D18" s="63"/>
      <c r="E18" s="79">
        <v>1</v>
      </c>
      <c r="F18" s="65" t="s">
        <v>151</v>
      </c>
      <c r="G18" s="63">
        <v>1</v>
      </c>
      <c r="H18" s="64" t="s">
        <v>154</v>
      </c>
      <c r="I18" s="63" t="s">
        <v>87</v>
      </c>
      <c r="J18" s="63">
        <v>105</v>
      </c>
      <c r="K18" s="71" t="s">
        <v>167</v>
      </c>
      <c r="L18" s="63" t="s">
        <v>153</v>
      </c>
      <c r="M18" s="63">
        <f t="shared" si="4"/>
        <v>105</v>
      </c>
      <c r="R18" s="4">
        <v>16</v>
      </c>
      <c r="S18" s="4" t="s">
        <v>36</v>
      </c>
      <c r="T18" s="4" t="s">
        <v>33</v>
      </c>
      <c r="U18" s="4" t="s">
        <v>53</v>
      </c>
    </row>
    <row r="19" spans="3:21" ht="15.75" thickBot="1" x14ac:dyDescent="0.3">
      <c r="C19" s="65">
        <v>21</v>
      </c>
      <c r="D19" s="63"/>
      <c r="E19" s="79">
        <v>1</v>
      </c>
      <c r="F19" s="65" t="s">
        <v>151</v>
      </c>
      <c r="G19" s="63">
        <v>1</v>
      </c>
      <c r="H19" s="64" t="s">
        <v>152</v>
      </c>
      <c r="I19" s="63" t="s">
        <v>87</v>
      </c>
      <c r="J19" s="63">
        <v>110</v>
      </c>
      <c r="K19" s="71" t="s">
        <v>168</v>
      </c>
      <c r="L19" s="63" t="s">
        <v>153</v>
      </c>
      <c r="M19" s="63">
        <f t="shared" si="4"/>
        <v>110</v>
      </c>
      <c r="R19" s="4">
        <v>17</v>
      </c>
      <c r="S19" s="4" t="str">
        <f>S18</f>
        <v>Chamarras acolchadas</v>
      </c>
      <c r="T19" s="4" t="str">
        <f t="shared" ref="T19:U19" si="5">T18</f>
        <v>Dama</v>
      </c>
      <c r="U19" s="4" t="str">
        <f t="shared" si="5"/>
        <v>Taslan arrugado, fibra, polar plusher, terry, pretina común del color de la prenda, cierrre coreano normal del color de la prenda, llave especial</v>
      </c>
    </row>
    <row r="20" spans="3:21" ht="15.75" thickBot="1" x14ac:dyDescent="0.3">
      <c r="C20" s="65">
        <v>22</v>
      </c>
      <c r="D20" s="63"/>
      <c r="E20" s="79">
        <v>1</v>
      </c>
      <c r="F20" s="65" t="s">
        <v>151</v>
      </c>
      <c r="G20" s="63">
        <v>1</v>
      </c>
      <c r="H20" s="64" t="s">
        <v>154</v>
      </c>
      <c r="I20" s="63" t="s">
        <v>86</v>
      </c>
      <c r="J20" s="63">
        <v>110</v>
      </c>
      <c r="K20" s="71" t="s">
        <v>169</v>
      </c>
      <c r="L20" s="63" t="s">
        <v>153</v>
      </c>
      <c r="M20" s="63">
        <f t="shared" si="4"/>
        <v>110</v>
      </c>
      <c r="R20" s="4">
        <v>18</v>
      </c>
      <c r="S20" s="4" t="s">
        <v>124</v>
      </c>
      <c r="T20" s="4" t="s">
        <v>32</v>
      </c>
      <c r="U20" s="4" t="s">
        <v>125</v>
      </c>
    </row>
    <row r="21" spans="3:21" ht="15.75" thickBot="1" x14ac:dyDescent="0.3">
      <c r="C21" s="65">
        <v>23</v>
      </c>
      <c r="D21" s="63"/>
      <c r="E21" s="79">
        <v>1</v>
      </c>
      <c r="F21" s="65" t="s">
        <v>151</v>
      </c>
      <c r="G21" s="63">
        <v>2</v>
      </c>
      <c r="H21" s="64" t="s">
        <v>152</v>
      </c>
      <c r="I21" s="63" t="s">
        <v>86</v>
      </c>
      <c r="J21" s="63">
        <v>90</v>
      </c>
      <c r="K21" s="71" t="s">
        <v>169</v>
      </c>
      <c r="L21" s="63" t="s">
        <v>153</v>
      </c>
      <c r="M21" s="63">
        <f t="shared" si="4"/>
        <v>180</v>
      </c>
      <c r="R21" s="4">
        <v>19</v>
      </c>
      <c r="S21" s="4" t="s">
        <v>124</v>
      </c>
      <c r="T21" s="4" t="s">
        <v>33</v>
      </c>
      <c r="U21" s="4" t="s">
        <v>125</v>
      </c>
    </row>
    <row r="22" spans="3:21" ht="15.75" thickBot="1" x14ac:dyDescent="0.3">
      <c r="C22" s="65">
        <v>24</v>
      </c>
      <c r="D22" s="63"/>
      <c r="E22" s="79">
        <v>1</v>
      </c>
      <c r="F22" s="65" t="s">
        <v>151</v>
      </c>
      <c r="G22" s="63">
        <v>1</v>
      </c>
      <c r="H22" s="64" t="s">
        <v>156</v>
      </c>
      <c r="I22" s="63" t="s">
        <v>85</v>
      </c>
      <c r="J22" s="63">
        <v>100</v>
      </c>
      <c r="K22" s="71" t="s">
        <v>170</v>
      </c>
      <c r="L22" s="63" t="s">
        <v>153</v>
      </c>
      <c r="M22" s="63">
        <f t="shared" si="4"/>
        <v>100</v>
      </c>
      <c r="R22" s="4">
        <v>20</v>
      </c>
      <c r="S22" s="4" t="s">
        <v>126</v>
      </c>
      <c r="T22" s="4" t="s">
        <v>32</v>
      </c>
      <c r="U22" t="s">
        <v>127</v>
      </c>
    </row>
    <row r="23" spans="3:21" ht="15.75" thickBot="1" x14ac:dyDescent="0.3">
      <c r="C23" s="65">
        <v>27</v>
      </c>
      <c r="D23" s="81">
        <v>45661</v>
      </c>
      <c r="E23" s="79">
        <v>1</v>
      </c>
      <c r="F23" s="65" t="s">
        <v>151</v>
      </c>
      <c r="G23" s="63">
        <v>1</v>
      </c>
      <c r="H23" s="64" t="s">
        <v>152</v>
      </c>
      <c r="I23" s="63" t="s">
        <v>86</v>
      </c>
      <c r="J23" s="63">
        <v>100</v>
      </c>
      <c r="K23" s="71" t="s">
        <v>201</v>
      </c>
      <c r="L23" s="63" t="s">
        <v>153</v>
      </c>
      <c r="M23" s="63">
        <f t="shared" ref="M23:M27" si="6">J23*G23</f>
        <v>100</v>
      </c>
      <c r="R23" s="4">
        <v>21</v>
      </c>
      <c r="S23" s="4" t="s">
        <v>158</v>
      </c>
      <c r="T23" s="4" t="s">
        <v>32</v>
      </c>
      <c r="U23" t="s">
        <v>128</v>
      </c>
    </row>
    <row r="24" spans="3:21" ht="15.75" thickBot="1" x14ac:dyDescent="0.3">
      <c r="C24" s="65">
        <v>28</v>
      </c>
      <c r="D24" s="81">
        <v>45661</v>
      </c>
      <c r="E24" s="79">
        <v>1</v>
      </c>
      <c r="F24" s="65" t="s">
        <v>151</v>
      </c>
      <c r="G24" s="63">
        <v>1</v>
      </c>
      <c r="H24" s="64" t="s">
        <v>154</v>
      </c>
      <c r="I24" s="63" t="s">
        <v>87</v>
      </c>
      <c r="J24" s="63">
        <v>110</v>
      </c>
      <c r="K24" s="71" t="s">
        <v>201</v>
      </c>
      <c r="L24" s="63" t="s">
        <v>153</v>
      </c>
      <c r="M24" s="63">
        <f t="shared" si="6"/>
        <v>110</v>
      </c>
      <c r="R24" s="4">
        <v>22</v>
      </c>
      <c r="S24" s="4" t="s">
        <v>39</v>
      </c>
      <c r="T24" s="4" t="s">
        <v>32</v>
      </c>
      <c r="U24" s="4" t="s">
        <v>129</v>
      </c>
    </row>
    <row r="25" spans="3:21" ht="15.75" thickBot="1" x14ac:dyDescent="0.3">
      <c r="C25" s="65">
        <v>29</v>
      </c>
      <c r="D25" s="81">
        <v>45661</v>
      </c>
      <c r="E25" s="79">
        <v>1</v>
      </c>
      <c r="F25" s="65" t="s">
        <v>151</v>
      </c>
      <c r="G25" s="63">
        <v>1</v>
      </c>
      <c r="H25" s="64" t="s">
        <v>162</v>
      </c>
      <c r="I25" s="63" t="s">
        <v>85</v>
      </c>
      <c r="J25" s="63">
        <v>100</v>
      </c>
      <c r="K25" s="71" t="s">
        <v>202</v>
      </c>
      <c r="L25" s="63" t="s">
        <v>153</v>
      </c>
      <c r="M25" s="63">
        <f t="shared" si="6"/>
        <v>100</v>
      </c>
      <c r="U25"/>
    </row>
    <row r="26" spans="3:21" ht="15.75" thickBot="1" x14ac:dyDescent="0.3">
      <c r="C26" s="65">
        <v>30</v>
      </c>
      <c r="D26" s="81">
        <v>45661</v>
      </c>
      <c r="E26" s="79">
        <v>1</v>
      </c>
      <c r="F26" s="65" t="s">
        <v>151</v>
      </c>
      <c r="G26" s="63">
        <v>1</v>
      </c>
      <c r="H26" s="64" t="s">
        <v>154</v>
      </c>
      <c r="I26" s="63" t="s">
        <v>87</v>
      </c>
      <c r="J26" s="63">
        <v>100</v>
      </c>
      <c r="K26" s="71" t="s">
        <v>163</v>
      </c>
      <c r="L26" s="63" t="s">
        <v>153</v>
      </c>
      <c r="M26" s="63">
        <f t="shared" si="6"/>
        <v>100</v>
      </c>
      <c r="U26"/>
    </row>
    <row r="27" spans="3:21" ht="15.75" thickBot="1" x14ac:dyDescent="0.3">
      <c r="C27" s="216">
        <v>32</v>
      </c>
      <c r="D27" s="231">
        <v>45662</v>
      </c>
      <c r="E27" s="219">
        <v>1</v>
      </c>
      <c r="F27" s="222" t="s">
        <v>151</v>
      </c>
      <c r="G27" s="59">
        <v>1</v>
      </c>
      <c r="H27" s="57" t="s">
        <v>152</v>
      </c>
      <c r="I27" s="59" t="s">
        <v>87</v>
      </c>
      <c r="J27" s="59">
        <v>100</v>
      </c>
      <c r="K27" s="109" t="s">
        <v>203</v>
      </c>
      <c r="L27" s="109" t="s">
        <v>153</v>
      </c>
      <c r="M27" s="67">
        <f t="shared" si="6"/>
        <v>100</v>
      </c>
      <c r="U27"/>
    </row>
    <row r="28" spans="3:21" ht="15.75" thickBot="1" x14ac:dyDescent="0.3">
      <c r="C28" s="218"/>
      <c r="D28" s="232"/>
      <c r="E28" s="221"/>
      <c r="F28" s="224"/>
      <c r="G28" s="6">
        <v>1</v>
      </c>
      <c r="H28" s="18" t="s">
        <v>156</v>
      </c>
      <c r="I28" s="6" t="s">
        <v>87</v>
      </c>
      <c r="J28" s="6">
        <v>100</v>
      </c>
      <c r="K28" s="110"/>
      <c r="L28" s="110"/>
      <c r="M28" s="67">
        <f>J28*G28</f>
        <v>100</v>
      </c>
      <c r="U28"/>
    </row>
    <row r="29" spans="3:21" ht="15.75" thickBot="1" x14ac:dyDescent="0.3">
      <c r="C29" s="65">
        <v>33</v>
      </c>
      <c r="D29" s="81">
        <v>45662</v>
      </c>
      <c r="E29" s="79">
        <v>1</v>
      </c>
      <c r="F29" s="65" t="s">
        <v>151</v>
      </c>
      <c r="G29" s="63">
        <v>1</v>
      </c>
      <c r="H29" s="64" t="s">
        <v>156</v>
      </c>
      <c r="I29" s="63" t="s">
        <v>86</v>
      </c>
      <c r="J29" s="63">
        <v>100</v>
      </c>
      <c r="K29" s="71" t="s">
        <v>204</v>
      </c>
      <c r="L29" s="63" t="s">
        <v>153</v>
      </c>
      <c r="M29" s="63">
        <f t="shared" ref="M29" si="7">J29*G29</f>
        <v>100</v>
      </c>
      <c r="U29"/>
    </row>
    <row r="30" spans="3:21" ht="15.75" thickBot="1" x14ac:dyDescent="0.3">
      <c r="C30" s="65">
        <v>37</v>
      </c>
      <c r="D30" s="81">
        <v>45663</v>
      </c>
      <c r="E30" s="79">
        <v>1</v>
      </c>
      <c r="F30" s="65" t="s">
        <v>151</v>
      </c>
      <c r="G30" s="63">
        <v>1</v>
      </c>
      <c r="H30" s="64" t="s">
        <v>152</v>
      </c>
      <c r="I30" s="63" t="s">
        <v>86</v>
      </c>
      <c r="J30" s="63">
        <v>100</v>
      </c>
      <c r="K30" s="71" t="s">
        <v>201</v>
      </c>
      <c r="L30" s="63" t="s">
        <v>153</v>
      </c>
      <c r="M30" s="63">
        <f t="shared" ref="M30:M33" si="8">J30*G30</f>
        <v>100</v>
      </c>
    </row>
    <row r="31" spans="3:21" ht="15.75" thickBot="1" x14ac:dyDescent="0.3">
      <c r="C31" s="65">
        <v>37</v>
      </c>
      <c r="D31" s="81">
        <v>45663</v>
      </c>
      <c r="E31" s="79">
        <v>1</v>
      </c>
      <c r="F31" s="65" t="s">
        <v>151</v>
      </c>
      <c r="G31" s="63">
        <v>1</v>
      </c>
      <c r="H31" s="64" t="s">
        <v>152</v>
      </c>
      <c r="I31" s="63" t="s">
        <v>86</v>
      </c>
      <c r="J31" s="63">
        <v>100</v>
      </c>
      <c r="K31" s="71" t="s">
        <v>169</v>
      </c>
      <c r="L31" s="63" t="s">
        <v>153</v>
      </c>
      <c r="M31" s="63">
        <f t="shared" si="8"/>
        <v>100</v>
      </c>
    </row>
    <row r="32" spans="3:21" ht="15.75" thickBot="1" x14ac:dyDescent="0.3">
      <c r="C32" s="65">
        <v>38</v>
      </c>
      <c r="D32" s="81">
        <v>45663</v>
      </c>
      <c r="E32" s="79">
        <v>1</v>
      </c>
      <c r="F32" s="65" t="s">
        <v>151</v>
      </c>
      <c r="G32" s="63">
        <v>1</v>
      </c>
      <c r="H32" s="64" t="s">
        <v>154</v>
      </c>
      <c r="I32" s="63" t="s">
        <v>85</v>
      </c>
      <c r="J32" s="63">
        <v>100</v>
      </c>
      <c r="K32" s="71" t="s">
        <v>161</v>
      </c>
      <c r="L32" s="63" t="s">
        <v>153</v>
      </c>
      <c r="M32" s="63">
        <f t="shared" si="8"/>
        <v>100</v>
      </c>
    </row>
    <row r="33" spans="3:13" ht="15.75" thickBot="1" x14ac:dyDescent="0.3">
      <c r="C33" s="216">
        <v>41</v>
      </c>
      <c r="D33" s="231">
        <v>45664</v>
      </c>
      <c r="E33" s="219">
        <v>1</v>
      </c>
      <c r="F33" s="222" t="s">
        <v>151</v>
      </c>
      <c r="G33" s="59">
        <v>1</v>
      </c>
      <c r="H33" s="57" t="s">
        <v>152</v>
      </c>
      <c r="I33" s="59" t="s">
        <v>87</v>
      </c>
      <c r="J33" s="59">
        <v>100</v>
      </c>
      <c r="K33" s="109" t="s">
        <v>205</v>
      </c>
      <c r="L33" s="109" t="s">
        <v>153</v>
      </c>
      <c r="M33" s="67">
        <f t="shared" si="8"/>
        <v>100</v>
      </c>
    </row>
    <row r="34" spans="3:13" ht="15.75" thickBot="1" x14ac:dyDescent="0.3">
      <c r="C34" s="218"/>
      <c r="D34" s="232"/>
      <c r="E34" s="221"/>
      <c r="F34" s="224"/>
      <c r="G34" s="6">
        <v>1</v>
      </c>
      <c r="H34" s="18" t="s">
        <v>154</v>
      </c>
      <c r="I34" s="6" t="s">
        <v>87</v>
      </c>
      <c r="J34" s="6">
        <v>100</v>
      </c>
      <c r="K34" s="110"/>
      <c r="L34" s="110"/>
      <c r="M34" s="67">
        <f>J34*G34</f>
        <v>100</v>
      </c>
    </row>
    <row r="35" spans="3:13" ht="15.75" thickBot="1" x14ac:dyDescent="0.3">
      <c r="C35" s="65">
        <v>42</v>
      </c>
      <c r="D35" s="81">
        <v>45664</v>
      </c>
      <c r="E35" s="79">
        <v>1</v>
      </c>
      <c r="F35" s="65" t="s">
        <v>151</v>
      </c>
      <c r="G35" s="63">
        <v>1</v>
      </c>
      <c r="H35" s="64" t="s">
        <v>152</v>
      </c>
      <c r="I35" s="63" t="s">
        <v>86</v>
      </c>
      <c r="J35" s="63">
        <v>100</v>
      </c>
      <c r="K35" s="71" t="s">
        <v>206</v>
      </c>
      <c r="L35" s="63" t="s">
        <v>153</v>
      </c>
      <c r="M35" s="63">
        <f t="shared" ref="M35:M36" si="9">J35*G35</f>
        <v>100</v>
      </c>
    </row>
    <row r="36" spans="3:13" ht="15.75" thickBot="1" x14ac:dyDescent="0.3">
      <c r="C36" s="216">
        <v>43</v>
      </c>
      <c r="D36" s="231">
        <v>45664</v>
      </c>
      <c r="E36" s="219">
        <v>1</v>
      </c>
      <c r="F36" s="222" t="s">
        <v>151</v>
      </c>
      <c r="G36" s="59">
        <v>1</v>
      </c>
      <c r="H36" s="57" t="s">
        <v>162</v>
      </c>
      <c r="I36" s="59" t="s">
        <v>87</v>
      </c>
      <c r="J36" s="59">
        <v>100</v>
      </c>
      <c r="K36" s="109" t="s">
        <v>207</v>
      </c>
      <c r="L36" s="109" t="s">
        <v>153</v>
      </c>
      <c r="M36" s="67">
        <f t="shared" si="9"/>
        <v>100</v>
      </c>
    </row>
    <row r="37" spans="3:13" ht="15.75" thickBot="1" x14ac:dyDescent="0.3">
      <c r="C37" s="218"/>
      <c r="D37" s="232"/>
      <c r="E37" s="221"/>
      <c r="F37" s="224"/>
      <c r="G37" s="6">
        <v>1</v>
      </c>
      <c r="H37" s="18" t="s">
        <v>156</v>
      </c>
      <c r="I37" s="6" t="s">
        <v>87</v>
      </c>
      <c r="J37" s="6">
        <v>100</v>
      </c>
      <c r="K37" s="110"/>
      <c r="L37" s="110"/>
      <c r="M37" s="67">
        <f>J37*G37</f>
        <v>100</v>
      </c>
    </row>
    <row r="38" spans="3:13" ht="15.75" thickBot="1" x14ac:dyDescent="0.3">
      <c r="C38" s="65">
        <v>48</v>
      </c>
      <c r="D38" s="81">
        <v>45664</v>
      </c>
      <c r="E38" s="79">
        <v>1</v>
      </c>
      <c r="F38" s="65" t="s">
        <v>151</v>
      </c>
      <c r="G38" s="63">
        <v>1</v>
      </c>
      <c r="H38" s="64" t="s">
        <v>152</v>
      </c>
      <c r="I38" s="63" t="s">
        <v>86</v>
      </c>
      <c r="J38" s="63">
        <v>100</v>
      </c>
      <c r="K38" s="71" t="s">
        <v>155</v>
      </c>
      <c r="L38" s="63" t="s">
        <v>153</v>
      </c>
      <c r="M38" s="63">
        <f t="shared" ref="M38:M40" si="10">J38*G38</f>
        <v>100</v>
      </c>
    </row>
    <row r="39" spans="3:13" ht="15.75" thickBot="1" x14ac:dyDescent="0.3">
      <c r="C39" s="65">
        <v>49</v>
      </c>
      <c r="D39" s="81">
        <v>45664</v>
      </c>
      <c r="E39" s="79">
        <v>1</v>
      </c>
      <c r="F39" s="65" t="s">
        <v>151</v>
      </c>
      <c r="G39" s="63">
        <v>1</v>
      </c>
      <c r="H39" s="64" t="s">
        <v>152</v>
      </c>
      <c r="I39" s="63" t="s">
        <v>86</v>
      </c>
      <c r="J39" s="63">
        <v>100</v>
      </c>
      <c r="K39" s="71" t="s">
        <v>155</v>
      </c>
      <c r="L39" s="63" t="s">
        <v>153</v>
      </c>
      <c r="M39" s="63">
        <f t="shared" si="10"/>
        <v>100</v>
      </c>
    </row>
    <row r="40" spans="3:13" ht="15.75" thickBot="1" x14ac:dyDescent="0.3">
      <c r="C40" s="65">
        <v>52</v>
      </c>
      <c r="D40" s="81">
        <v>45665</v>
      </c>
      <c r="E40" s="79">
        <v>1</v>
      </c>
      <c r="F40" s="65" t="s">
        <v>151</v>
      </c>
      <c r="G40" s="63">
        <v>1</v>
      </c>
      <c r="H40" s="64" t="s">
        <v>152</v>
      </c>
      <c r="I40" s="63" t="s">
        <v>87</v>
      </c>
      <c r="J40" s="63">
        <v>110</v>
      </c>
      <c r="K40" s="71" t="s">
        <v>159</v>
      </c>
      <c r="L40" s="63" t="s">
        <v>153</v>
      </c>
      <c r="M40" s="63">
        <f t="shared" si="10"/>
        <v>110</v>
      </c>
    </row>
    <row r="41" spans="3:13" ht="15.75" thickBot="1" x14ac:dyDescent="0.3">
      <c r="C41" s="65">
        <v>55</v>
      </c>
      <c r="D41" s="81">
        <v>45665</v>
      </c>
      <c r="E41" s="79">
        <v>1</v>
      </c>
      <c r="F41" s="65" t="s">
        <v>151</v>
      </c>
      <c r="G41" s="63">
        <v>1</v>
      </c>
      <c r="H41" s="64" t="s">
        <v>152</v>
      </c>
      <c r="I41" s="63" t="s">
        <v>85</v>
      </c>
      <c r="J41" s="63">
        <v>100</v>
      </c>
      <c r="K41" s="71" t="s">
        <v>161</v>
      </c>
      <c r="L41" s="63" t="s">
        <v>153</v>
      </c>
      <c r="M41" s="63">
        <f t="shared" ref="M41:M42" si="11">J41*G41</f>
        <v>100</v>
      </c>
    </row>
    <row r="42" spans="3:13" ht="15.75" thickBot="1" x14ac:dyDescent="0.3">
      <c r="C42" s="216">
        <v>56</v>
      </c>
      <c r="D42" s="231">
        <v>45665</v>
      </c>
      <c r="E42" s="219">
        <v>1</v>
      </c>
      <c r="F42" s="222" t="s">
        <v>151</v>
      </c>
      <c r="G42" s="59">
        <v>1</v>
      </c>
      <c r="H42" s="57" t="s">
        <v>162</v>
      </c>
      <c r="I42" s="59" t="s">
        <v>87</v>
      </c>
      <c r="J42" s="59">
        <v>100</v>
      </c>
      <c r="K42" s="109" t="s">
        <v>155</v>
      </c>
      <c r="L42" s="109" t="s">
        <v>153</v>
      </c>
      <c r="M42" s="67">
        <f t="shared" si="11"/>
        <v>100</v>
      </c>
    </row>
    <row r="43" spans="3:13" ht="15.75" thickBot="1" x14ac:dyDescent="0.3">
      <c r="C43" s="218"/>
      <c r="D43" s="232"/>
      <c r="E43" s="221"/>
      <c r="F43" s="224"/>
      <c r="G43" s="6">
        <v>1</v>
      </c>
      <c r="H43" s="18" t="s">
        <v>152</v>
      </c>
      <c r="I43" s="6" t="s">
        <v>87</v>
      </c>
      <c r="J43" s="6">
        <v>100</v>
      </c>
      <c r="K43" s="110"/>
      <c r="L43" s="110"/>
      <c r="M43" s="67">
        <f>J43*G43</f>
        <v>100</v>
      </c>
    </row>
    <row r="44" spans="3:13" ht="15.75" thickBot="1" x14ac:dyDescent="0.3">
      <c r="C44" s="65">
        <v>58</v>
      </c>
      <c r="D44" s="81">
        <v>45661</v>
      </c>
      <c r="E44" s="79">
        <v>1</v>
      </c>
      <c r="F44" s="65" t="s">
        <v>151</v>
      </c>
      <c r="G44" s="63">
        <v>1</v>
      </c>
      <c r="H44" s="64" t="s">
        <v>162</v>
      </c>
      <c r="I44" s="63" t="s">
        <v>86</v>
      </c>
      <c r="J44" s="63">
        <v>80</v>
      </c>
      <c r="K44" s="71" t="s">
        <v>163</v>
      </c>
      <c r="L44" s="63" t="s">
        <v>166</v>
      </c>
      <c r="M44" s="63">
        <f t="shared" ref="M44" si="12">J44*G44</f>
        <v>80</v>
      </c>
    </row>
    <row r="45" spans="3:13" ht="15.75" thickBot="1" x14ac:dyDescent="0.3">
      <c r="C45" s="65">
        <v>59</v>
      </c>
      <c r="D45" s="81">
        <v>45661</v>
      </c>
      <c r="E45" s="79">
        <v>1</v>
      </c>
      <c r="F45" s="65" t="s">
        <v>151</v>
      </c>
      <c r="G45" s="63">
        <v>1</v>
      </c>
      <c r="H45" s="64" t="s">
        <v>154</v>
      </c>
      <c r="I45" s="63" t="s">
        <v>86</v>
      </c>
      <c r="J45" s="63">
        <v>80</v>
      </c>
      <c r="K45" s="71" t="s">
        <v>165</v>
      </c>
      <c r="L45" s="63" t="s">
        <v>166</v>
      </c>
      <c r="M45" s="63">
        <f t="shared" ref="M45:M46" si="13">J45*G45</f>
        <v>80</v>
      </c>
    </row>
    <row r="46" spans="3:13" ht="15.75" thickBot="1" x14ac:dyDescent="0.3">
      <c r="C46" s="65">
        <v>60</v>
      </c>
      <c r="D46" s="81">
        <v>45661</v>
      </c>
      <c r="E46" s="79">
        <v>1</v>
      </c>
      <c r="F46" s="65" t="s">
        <v>151</v>
      </c>
      <c r="G46" s="63">
        <v>1</v>
      </c>
      <c r="H46" s="64" t="s">
        <v>154</v>
      </c>
      <c r="I46" s="63" t="s">
        <v>86</v>
      </c>
      <c r="J46" s="63">
        <v>80</v>
      </c>
      <c r="K46" s="71" t="s">
        <v>169</v>
      </c>
      <c r="L46" s="63" t="s">
        <v>166</v>
      </c>
      <c r="M46" s="63">
        <f t="shared" si="13"/>
        <v>80</v>
      </c>
    </row>
    <row r="47" spans="3:13" ht="15.75" thickBot="1" x14ac:dyDescent="0.3">
      <c r="C47" s="65">
        <v>61</v>
      </c>
      <c r="D47" s="81">
        <v>45666</v>
      </c>
      <c r="E47" s="79">
        <v>1</v>
      </c>
      <c r="F47" s="65" t="s">
        <v>151</v>
      </c>
      <c r="G47" s="63">
        <v>1</v>
      </c>
      <c r="H47" s="64" t="s">
        <v>154</v>
      </c>
      <c r="I47" s="63" t="s">
        <v>87</v>
      </c>
      <c r="J47" s="63">
        <v>110</v>
      </c>
      <c r="K47" s="71" t="s">
        <v>205</v>
      </c>
      <c r="L47" s="63" t="s">
        <v>153</v>
      </c>
      <c r="M47" s="63">
        <f t="shared" ref="M47" si="14">J47*G47</f>
        <v>110</v>
      </c>
    </row>
    <row r="48" spans="3:13" ht="15.75" thickBot="1" x14ac:dyDescent="0.3">
      <c r="C48" s="216">
        <v>62</v>
      </c>
      <c r="D48" s="231">
        <v>45666</v>
      </c>
      <c r="E48" s="219">
        <v>1</v>
      </c>
      <c r="F48" s="222" t="s">
        <v>151</v>
      </c>
      <c r="G48" s="59">
        <v>1</v>
      </c>
      <c r="H48" s="57" t="s">
        <v>156</v>
      </c>
      <c r="I48" s="59" t="s">
        <v>87</v>
      </c>
      <c r="J48" s="59">
        <v>101</v>
      </c>
      <c r="K48" s="109" t="s">
        <v>213</v>
      </c>
      <c r="L48" s="109" t="s">
        <v>153</v>
      </c>
      <c r="M48" s="67">
        <f t="shared" si="0"/>
        <v>101</v>
      </c>
    </row>
    <row r="49" spans="3:13" ht="15.75" thickBot="1" x14ac:dyDescent="0.3">
      <c r="C49" s="218"/>
      <c r="D49" s="232"/>
      <c r="E49" s="221"/>
      <c r="F49" s="224"/>
      <c r="G49" s="6">
        <v>1</v>
      </c>
      <c r="H49" s="18" t="s">
        <v>152</v>
      </c>
      <c r="I49" s="6" t="s">
        <v>87</v>
      </c>
      <c r="J49" s="6">
        <v>101</v>
      </c>
      <c r="K49" s="110"/>
      <c r="L49" s="110"/>
      <c r="M49" s="67">
        <f>J49*G49</f>
        <v>101</v>
      </c>
    </row>
    <row r="50" spans="3:13" ht="15.75" thickBot="1" x14ac:dyDescent="0.3">
      <c r="C50" s="216">
        <v>63</v>
      </c>
      <c r="D50" s="231">
        <v>45666</v>
      </c>
      <c r="E50" s="219">
        <v>1</v>
      </c>
      <c r="F50" s="222" t="s">
        <v>151</v>
      </c>
      <c r="G50" s="59">
        <v>1</v>
      </c>
      <c r="H50" s="57" t="s">
        <v>162</v>
      </c>
      <c r="I50" s="59" t="s">
        <v>87</v>
      </c>
      <c r="J50" s="59">
        <v>100</v>
      </c>
      <c r="K50" s="109" t="s">
        <v>214</v>
      </c>
      <c r="L50" s="109" t="s">
        <v>153</v>
      </c>
      <c r="M50" s="67">
        <f t="shared" ref="M50" si="15">J50*G50</f>
        <v>100</v>
      </c>
    </row>
    <row r="51" spans="3:13" ht="15.75" thickBot="1" x14ac:dyDescent="0.3">
      <c r="C51" s="218"/>
      <c r="D51" s="232"/>
      <c r="E51" s="221"/>
      <c r="F51" s="224"/>
      <c r="G51" s="6">
        <v>1</v>
      </c>
      <c r="H51" s="18" t="s">
        <v>156</v>
      </c>
      <c r="I51" s="6" t="s">
        <v>87</v>
      </c>
      <c r="J51" s="6">
        <v>100</v>
      </c>
      <c r="K51" s="110"/>
      <c r="L51" s="110"/>
      <c r="M51" s="67">
        <f>J51*G51</f>
        <v>100</v>
      </c>
    </row>
    <row r="52" spans="3:13" ht="15.75" thickBot="1" x14ac:dyDescent="0.3">
      <c r="M52" s="60">
        <f t="shared" si="0"/>
        <v>0</v>
      </c>
    </row>
    <row r="53" spans="3:13" ht="15.75" thickBot="1" x14ac:dyDescent="0.3">
      <c r="M53" s="60">
        <f t="shared" si="0"/>
        <v>0</v>
      </c>
    </row>
    <row r="54" spans="3:13" ht="15.75" thickBot="1" x14ac:dyDescent="0.3">
      <c r="M54" s="60">
        <f t="shared" si="0"/>
        <v>0</v>
      </c>
    </row>
    <row r="55" spans="3:13" ht="15.75" thickBot="1" x14ac:dyDescent="0.3">
      <c r="M55" s="60">
        <f t="shared" si="0"/>
        <v>0</v>
      </c>
    </row>
    <row r="56" spans="3:13" ht="15.75" thickBot="1" x14ac:dyDescent="0.3">
      <c r="M56" s="60">
        <f t="shared" si="0"/>
        <v>0</v>
      </c>
    </row>
    <row r="57" spans="3:13" ht="15.75" thickBot="1" x14ac:dyDescent="0.3">
      <c r="M57" s="60">
        <f t="shared" si="0"/>
        <v>0</v>
      </c>
    </row>
    <row r="58" spans="3:13" ht="15.75" thickBot="1" x14ac:dyDescent="0.3">
      <c r="M58" s="60">
        <f t="shared" si="0"/>
        <v>0</v>
      </c>
    </row>
    <row r="59" spans="3:13" ht="15.75" thickBot="1" x14ac:dyDescent="0.3">
      <c r="M59" s="60">
        <f t="shared" si="0"/>
        <v>0</v>
      </c>
    </row>
    <row r="60" spans="3:13" ht="15.75" thickBot="1" x14ac:dyDescent="0.3">
      <c r="M60" s="60">
        <f t="shared" si="0"/>
        <v>0</v>
      </c>
    </row>
    <row r="61" spans="3:13" ht="15.75" thickBot="1" x14ac:dyDescent="0.3">
      <c r="M61" s="60">
        <f t="shared" si="0"/>
        <v>0</v>
      </c>
    </row>
    <row r="62" spans="3:13" ht="15.75" thickBot="1" x14ac:dyDescent="0.3">
      <c r="M62" s="60">
        <f t="shared" si="0"/>
        <v>0</v>
      </c>
    </row>
    <row r="63" spans="3:13" ht="15.75" thickBot="1" x14ac:dyDescent="0.3">
      <c r="M63" s="60">
        <f t="shared" si="0"/>
        <v>0</v>
      </c>
    </row>
    <row r="64" spans="3:13" ht="15.75" thickBot="1" x14ac:dyDescent="0.3">
      <c r="M64" s="60">
        <f t="shared" si="0"/>
        <v>0</v>
      </c>
    </row>
    <row r="65" spans="13:13" ht="15.75" thickBot="1" x14ac:dyDescent="0.3">
      <c r="M65" s="60">
        <f t="shared" si="0"/>
        <v>0</v>
      </c>
    </row>
    <row r="66" spans="13:13" ht="15.75" thickBot="1" x14ac:dyDescent="0.3">
      <c r="M66" s="60">
        <f t="shared" si="0"/>
        <v>0</v>
      </c>
    </row>
    <row r="67" spans="13:13" ht="15.75" thickBot="1" x14ac:dyDescent="0.3">
      <c r="M67" s="60">
        <f t="shared" si="0"/>
        <v>0</v>
      </c>
    </row>
    <row r="68" spans="13:13" ht="15.75" thickBot="1" x14ac:dyDescent="0.3">
      <c r="M68" s="60">
        <f t="shared" si="0"/>
        <v>0</v>
      </c>
    </row>
    <row r="69" spans="13:13" ht="15.75" thickBot="1" x14ac:dyDescent="0.3">
      <c r="M69" s="60">
        <f t="shared" si="0"/>
        <v>0</v>
      </c>
    </row>
    <row r="70" spans="13:13" ht="15.75" thickBot="1" x14ac:dyDescent="0.3">
      <c r="M70" s="60">
        <f t="shared" si="0"/>
        <v>0</v>
      </c>
    </row>
    <row r="71" spans="13:13" ht="15.75" thickBot="1" x14ac:dyDescent="0.3">
      <c r="M71" s="60">
        <f t="shared" si="0"/>
        <v>0</v>
      </c>
    </row>
    <row r="72" spans="13:13" ht="15.75" thickBot="1" x14ac:dyDescent="0.3">
      <c r="M72" s="60">
        <f t="shared" ref="M72:M135" si="16">J72*G72</f>
        <v>0</v>
      </c>
    </row>
    <row r="73" spans="13:13" ht="15.75" thickBot="1" x14ac:dyDescent="0.3">
      <c r="M73" s="60">
        <f t="shared" si="16"/>
        <v>0</v>
      </c>
    </row>
    <row r="74" spans="13:13" ht="15.75" thickBot="1" x14ac:dyDescent="0.3">
      <c r="M74" s="60">
        <f t="shared" si="16"/>
        <v>0</v>
      </c>
    </row>
    <row r="75" spans="13:13" ht="15.75" thickBot="1" x14ac:dyDescent="0.3">
      <c r="M75" s="60">
        <f t="shared" si="16"/>
        <v>0</v>
      </c>
    </row>
    <row r="76" spans="13:13" ht="15.75" thickBot="1" x14ac:dyDescent="0.3">
      <c r="M76" s="60">
        <f t="shared" si="16"/>
        <v>0</v>
      </c>
    </row>
    <row r="77" spans="13:13" ht="15.75" thickBot="1" x14ac:dyDescent="0.3">
      <c r="M77" s="60">
        <f t="shared" si="16"/>
        <v>0</v>
      </c>
    </row>
    <row r="78" spans="13:13" ht="15.75" thickBot="1" x14ac:dyDescent="0.3">
      <c r="M78" s="60">
        <f t="shared" si="16"/>
        <v>0</v>
      </c>
    </row>
    <row r="79" spans="13:13" ht="15.75" thickBot="1" x14ac:dyDescent="0.3">
      <c r="M79" s="60">
        <f t="shared" si="16"/>
        <v>0</v>
      </c>
    </row>
    <row r="80" spans="13:13" ht="15.75" thickBot="1" x14ac:dyDescent="0.3">
      <c r="M80" s="60">
        <f t="shared" si="16"/>
        <v>0</v>
      </c>
    </row>
    <row r="81" spans="13:13" ht="15.75" thickBot="1" x14ac:dyDescent="0.3">
      <c r="M81" s="60">
        <f t="shared" si="16"/>
        <v>0</v>
      </c>
    </row>
    <row r="82" spans="13:13" ht="15.75" thickBot="1" x14ac:dyDescent="0.3">
      <c r="M82" s="60">
        <f t="shared" si="16"/>
        <v>0</v>
      </c>
    </row>
    <row r="83" spans="13:13" ht="15.75" thickBot="1" x14ac:dyDescent="0.3">
      <c r="M83" s="60">
        <f t="shared" si="16"/>
        <v>0</v>
      </c>
    </row>
    <row r="84" spans="13:13" ht="15.75" thickBot="1" x14ac:dyDescent="0.3">
      <c r="M84" s="60">
        <f t="shared" si="16"/>
        <v>0</v>
      </c>
    </row>
    <row r="85" spans="13:13" ht="15.75" thickBot="1" x14ac:dyDescent="0.3">
      <c r="M85" s="60">
        <f t="shared" si="16"/>
        <v>0</v>
      </c>
    </row>
    <row r="86" spans="13:13" ht="15.75" thickBot="1" x14ac:dyDescent="0.3">
      <c r="M86" s="60">
        <f t="shared" si="16"/>
        <v>0</v>
      </c>
    </row>
    <row r="87" spans="13:13" ht="15.75" thickBot="1" x14ac:dyDescent="0.3">
      <c r="M87" s="60">
        <f t="shared" si="16"/>
        <v>0</v>
      </c>
    </row>
    <row r="88" spans="13:13" ht="15.75" thickBot="1" x14ac:dyDescent="0.3">
      <c r="M88" s="60">
        <f t="shared" si="16"/>
        <v>0</v>
      </c>
    </row>
    <row r="89" spans="13:13" ht="15.75" thickBot="1" x14ac:dyDescent="0.3">
      <c r="M89" s="60">
        <f t="shared" si="16"/>
        <v>0</v>
      </c>
    </row>
    <row r="90" spans="13:13" ht="15.75" thickBot="1" x14ac:dyDescent="0.3">
      <c r="M90" s="60">
        <f t="shared" si="16"/>
        <v>0</v>
      </c>
    </row>
    <row r="91" spans="13:13" ht="15.75" thickBot="1" x14ac:dyDescent="0.3">
      <c r="M91" s="60">
        <f t="shared" si="16"/>
        <v>0</v>
      </c>
    </row>
    <row r="92" spans="13:13" ht="15.75" thickBot="1" x14ac:dyDescent="0.3">
      <c r="M92" s="60">
        <f t="shared" si="16"/>
        <v>0</v>
      </c>
    </row>
    <row r="93" spans="13:13" ht="15.75" thickBot="1" x14ac:dyDescent="0.3">
      <c r="M93" s="60">
        <f t="shared" si="16"/>
        <v>0</v>
      </c>
    </row>
    <row r="94" spans="13:13" ht="15.75" thickBot="1" x14ac:dyDescent="0.3">
      <c r="M94" s="60">
        <f t="shared" si="16"/>
        <v>0</v>
      </c>
    </row>
    <row r="95" spans="13:13" ht="15.75" thickBot="1" x14ac:dyDescent="0.3">
      <c r="M95" s="60">
        <f t="shared" si="16"/>
        <v>0</v>
      </c>
    </row>
    <row r="96" spans="13:13" ht="15.75" thickBot="1" x14ac:dyDescent="0.3">
      <c r="M96" s="60">
        <f t="shared" si="16"/>
        <v>0</v>
      </c>
    </row>
    <row r="97" spans="13:13" ht="15.75" thickBot="1" x14ac:dyDescent="0.3">
      <c r="M97" s="60">
        <f t="shared" si="16"/>
        <v>0</v>
      </c>
    </row>
    <row r="98" spans="13:13" ht="15.75" thickBot="1" x14ac:dyDescent="0.3">
      <c r="M98" s="60">
        <f t="shared" si="16"/>
        <v>0</v>
      </c>
    </row>
    <row r="99" spans="13:13" ht="15.75" thickBot="1" x14ac:dyDescent="0.3">
      <c r="M99" s="60">
        <f t="shared" si="16"/>
        <v>0</v>
      </c>
    </row>
    <row r="100" spans="13:13" ht="15.75" thickBot="1" x14ac:dyDescent="0.3">
      <c r="M100" s="60">
        <f t="shared" si="16"/>
        <v>0</v>
      </c>
    </row>
    <row r="101" spans="13:13" ht="15.75" thickBot="1" x14ac:dyDescent="0.3">
      <c r="M101" s="60">
        <f t="shared" si="16"/>
        <v>0</v>
      </c>
    </row>
    <row r="102" spans="13:13" ht="15.75" thickBot="1" x14ac:dyDescent="0.3">
      <c r="M102" s="60">
        <f t="shared" si="16"/>
        <v>0</v>
      </c>
    </row>
    <row r="103" spans="13:13" ht="15.75" thickBot="1" x14ac:dyDescent="0.3">
      <c r="M103" s="60">
        <f t="shared" si="16"/>
        <v>0</v>
      </c>
    </row>
    <row r="104" spans="13:13" ht="15.75" thickBot="1" x14ac:dyDescent="0.3">
      <c r="M104" s="60">
        <f t="shared" si="16"/>
        <v>0</v>
      </c>
    </row>
    <row r="105" spans="13:13" ht="15.75" thickBot="1" x14ac:dyDescent="0.3">
      <c r="M105" s="60">
        <f t="shared" si="16"/>
        <v>0</v>
      </c>
    </row>
    <row r="106" spans="13:13" ht="15.75" thickBot="1" x14ac:dyDescent="0.3">
      <c r="M106" s="60">
        <f t="shared" si="16"/>
        <v>0</v>
      </c>
    </row>
    <row r="107" spans="13:13" ht="15.75" thickBot="1" x14ac:dyDescent="0.3">
      <c r="M107" s="60">
        <f t="shared" si="16"/>
        <v>0</v>
      </c>
    </row>
    <row r="108" spans="13:13" ht="15.75" thickBot="1" x14ac:dyDescent="0.3">
      <c r="M108" s="60">
        <f t="shared" si="16"/>
        <v>0</v>
      </c>
    </row>
    <row r="109" spans="13:13" ht="15.75" thickBot="1" x14ac:dyDescent="0.3">
      <c r="M109" s="60">
        <f t="shared" si="16"/>
        <v>0</v>
      </c>
    </row>
    <row r="110" spans="13:13" ht="15.75" thickBot="1" x14ac:dyDescent="0.3">
      <c r="M110" s="60">
        <f t="shared" si="16"/>
        <v>0</v>
      </c>
    </row>
    <row r="111" spans="13:13" ht="15.75" thickBot="1" x14ac:dyDescent="0.3">
      <c r="M111" s="60">
        <f t="shared" si="16"/>
        <v>0</v>
      </c>
    </row>
    <row r="112" spans="13:13" ht="15.75" thickBot="1" x14ac:dyDescent="0.3">
      <c r="M112" s="60">
        <f t="shared" si="16"/>
        <v>0</v>
      </c>
    </row>
    <row r="113" spans="13:13" ht="15.75" thickBot="1" x14ac:dyDescent="0.3">
      <c r="M113" s="60">
        <f t="shared" si="16"/>
        <v>0</v>
      </c>
    </row>
    <row r="114" spans="13:13" ht="15.75" thickBot="1" x14ac:dyDescent="0.3">
      <c r="M114" s="60">
        <f t="shared" si="16"/>
        <v>0</v>
      </c>
    </row>
    <row r="115" spans="13:13" ht="15.75" thickBot="1" x14ac:dyDescent="0.3">
      <c r="M115" s="60">
        <f t="shared" si="16"/>
        <v>0</v>
      </c>
    </row>
    <row r="116" spans="13:13" ht="15.75" thickBot="1" x14ac:dyDescent="0.3">
      <c r="M116" s="60">
        <f t="shared" si="16"/>
        <v>0</v>
      </c>
    </row>
    <row r="117" spans="13:13" ht="15.75" thickBot="1" x14ac:dyDescent="0.3">
      <c r="M117" s="60">
        <f t="shared" si="16"/>
        <v>0</v>
      </c>
    </row>
    <row r="118" spans="13:13" ht="15.75" thickBot="1" x14ac:dyDescent="0.3">
      <c r="M118" s="60">
        <f t="shared" si="16"/>
        <v>0</v>
      </c>
    </row>
    <row r="119" spans="13:13" ht="15.75" thickBot="1" x14ac:dyDescent="0.3">
      <c r="M119" s="60">
        <f t="shared" si="16"/>
        <v>0</v>
      </c>
    </row>
    <row r="120" spans="13:13" ht="15.75" thickBot="1" x14ac:dyDescent="0.3">
      <c r="M120" s="60">
        <f t="shared" si="16"/>
        <v>0</v>
      </c>
    </row>
    <row r="121" spans="13:13" ht="15.75" thickBot="1" x14ac:dyDescent="0.3">
      <c r="M121" s="60">
        <f t="shared" si="16"/>
        <v>0</v>
      </c>
    </row>
    <row r="122" spans="13:13" ht="15.75" thickBot="1" x14ac:dyDescent="0.3">
      <c r="M122" s="60">
        <f t="shared" si="16"/>
        <v>0</v>
      </c>
    </row>
    <row r="123" spans="13:13" ht="15.75" thickBot="1" x14ac:dyDescent="0.3">
      <c r="M123" s="60">
        <f t="shared" si="16"/>
        <v>0</v>
      </c>
    </row>
    <row r="124" spans="13:13" ht="15.75" thickBot="1" x14ac:dyDescent="0.3">
      <c r="M124" s="60">
        <f t="shared" si="16"/>
        <v>0</v>
      </c>
    </row>
    <row r="125" spans="13:13" ht="15.75" thickBot="1" x14ac:dyDescent="0.3">
      <c r="M125" s="60">
        <f t="shared" si="16"/>
        <v>0</v>
      </c>
    </row>
    <row r="126" spans="13:13" ht="15.75" thickBot="1" x14ac:dyDescent="0.3">
      <c r="M126" s="60">
        <f t="shared" si="16"/>
        <v>0</v>
      </c>
    </row>
    <row r="127" spans="13:13" ht="15.75" thickBot="1" x14ac:dyDescent="0.3">
      <c r="M127" s="60">
        <f t="shared" si="16"/>
        <v>0</v>
      </c>
    </row>
    <row r="128" spans="13:13" ht="15.75" thickBot="1" x14ac:dyDescent="0.3">
      <c r="M128" s="60">
        <f t="shared" si="16"/>
        <v>0</v>
      </c>
    </row>
    <row r="129" spans="13:13" ht="15.75" thickBot="1" x14ac:dyDescent="0.3">
      <c r="M129" s="60">
        <f t="shared" si="16"/>
        <v>0</v>
      </c>
    </row>
    <row r="130" spans="13:13" ht="15.75" thickBot="1" x14ac:dyDescent="0.3">
      <c r="M130" s="60">
        <f t="shared" si="16"/>
        <v>0</v>
      </c>
    </row>
    <row r="131" spans="13:13" ht="15.75" thickBot="1" x14ac:dyDescent="0.3">
      <c r="M131" s="60">
        <f t="shared" si="16"/>
        <v>0</v>
      </c>
    </row>
    <row r="132" spans="13:13" ht="15.75" thickBot="1" x14ac:dyDescent="0.3">
      <c r="M132" s="60">
        <f t="shared" si="16"/>
        <v>0</v>
      </c>
    </row>
    <row r="133" spans="13:13" ht="15.75" thickBot="1" x14ac:dyDescent="0.3">
      <c r="M133" s="60">
        <f t="shared" si="16"/>
        <v>0</v>
      </c>
    </row>
    <row r="134" spans="13:13" ht="15.75" thickBot="1" x14ac:dyDescent="0.3">
      <c r="M134" s="60">
        <f t="shared" si="16"/>
        <v>0</v>
      </c>
    </row>
    <row r="135" spans="13:13" ht="15.75" thickBot="1" x14ac:dyDescent="0.3">
      <c r="M135" s="60">
        <f t="shared" si="16"/>
        <v>0</v>
      </c>
    </row>
    <row r="136" spans="13:13" ht="15.75" thickBot="1" x14ac:dyDescent="0.3">
      <c r="M136" s="60">
        <f t="shared" ref="M136:M199" si="17">J136*G136</f>
        <v>0</v>
      </c>
    </row>
    <row r="137" spans="13:13" ht="15.75" thickBot="1" x14ac:dyDescent="0.3">
      <c r="M137" s="60">
        <f t="shared" si="17"/>
        <v>0</v>
      </c>
    </row>
    <row r="138" spans="13:13" ht="15.75" thickBot="1" x14ac:dyDescent="0.3">
      <c r="M138" s="60">
        <f t="shared" si="17"/>
        <v>0</v>
      </c>
    </row>
    <row r="139" spans="13:13" ht="15.75" thickBot="1" x14ac:dyDescent="0.3">
      <c r="M139" s="60">
        <f t="shared" si="17"/>
        <v>0</v>
      </c>
    </row>
    <row r="140" spans="13:13" ht="15.75" thickBot="1" x14ac:dyDescent="0.3">
      <c r="M140" s="60">
        <f t="shared" si="17"/>
        <v>0</v>
      </c>
    </row>
    <row r="141" spans="13:13" ht="15.75" thickBot="1" x14ac:dyDescent="0.3">
      <c r="M141" s="60">
        <f t="shared" si="17"/>
        <v>0</v>
      </c>
    </row>
    <row r="142" spans="13:13" ht="15.75" thickBot="1" x14ac:dyDescent="0.3">
      <c r="M142" s="60">
        <f t="shared" si="17"/>
        <v>0</v>
      </c>
    </row>
    <row r="143" spans="13:13" ht="15.75" thickBot="1" x14ac:dyDescent="0.3">
      <c r="M143" s="60">
        <f t="shared" si="17"/>
        <v>0</v>
      </c>
    </row>
    <row r="144" spans="13:13" ht="15.75" thickBot="1" x14ac:dyDescent="0.3">
      <c r="M144" s="60">
        <f t="shared" si="17"/>
        <v>0</v>
      </c>
    </row>
    <row r="145" spans="13:13" ht="15.75" thickBot="1" x14ac:dyDescent="0.3">
      <c r="M145" s="60">
        <f t="shared" si="17"/>
        <v>0</v>
      </c>
    </row>
    <row r="146" spans="13:13" ht="15.75" thickBot="1" x14ac:dyDescent="0.3">
      <c r="M146" s="60">
        <f t="shared" si="17"/>
        <v>0</v>
      </c>
    </row>
    <row r="147" spans="13:13" ht="15.75" thickBot="1" x14ac:dyDescent="0.3">
      <c r="M147" s="60">
        <f t="shared" si="17"/>
        <v>0</v>
      </c>
    </row>
    <row r="148" spans="13:13" ht="15.75" thickBot="1" x14ac:dyDescent="0.3">
      <c r="M148" s="60">
        <f t="shared" si="17"/>
        <v>0</v>
      </c>
    </row>
    <row r="149" spans="13:13" ht="15.75" thickBot="1" x14ac:dyDescent="0.3">
      <c r="M149" s="60">
        <f t="shared" si="17"/>
        <v>0</v>
      </c>
    </row>
    <row r="150" spans="13:13" ht="15.75" thickBot="1" x14ac:dyDescent="0.3">
      <c r="M150" s="60">
        <f t="shared" si="17"/>
        <v>0</v>
      </c>
    </row>
    <row r="151" spans="13:13" ht="15.75" thickBot="1" x14ac:dyDescent="0.3">
      <c r="M151" s="60">
        <f t="shared" si="17"/>
        <v>0</v>
      </c>
    </row>
    <row r="152" spans="13:13" ht="15.75" thickBot="1" x14ac:dyDescent="0.3">
      <c r="M152" s="60">
        <f t="shared" si="17"/>
        <v>0</v>
      </c>
    </row>
    <row r="153" spans="13:13" ht="15.75" thickBot="1" x14ac:dyDescent="0.3">
      <c r="M153" s="60">
        <f t="shared" si="17"/>
        <v>0</v>
      </c>
    </row>
    <row r="154" spans="13:13" ht="15.75" thickBot="1" x14ac:dyDescent="0.3">
      <c r="M154" s="60">
        <f t="shared" si="17"/>
        <v>0</v>
      </c>
    </row>
    <row r="155" spans="13:13" ht="15.75" thickBot="1" x14ac:dyDescent="0.3">
      <c r="M155" s="60">
        <f t="shared" si="17"/>
        <v>0</v>
      </c>
    </row>
    <row r="156" spans="13:13" ht="15.75" thickBot="1" x14ac:dyDescent="0.3">
      <c r="M156" s="60">
        <f t="shared" si="17"/>
        <v>0</v>
      </c>
    </row>
    <row r="157" spans="13:13" ht="15.75" thickBot="1" x14ac:dyDescent="0.3">
      <c r="M157" s="60">
        <f t="shared" si="17"/>
        <v>0</v>
      </c>
    </row>
    <row r="158" spans="13:13" ht="15.75" thickBot="1" x14ac:dyDescent="0.3">
      <c r="M158" s="60">
        <f t="shared" si="17"/>
        <v>0</v>
      </c>
    </row>
    <row r="159" spans="13:13" ht="15.75" thickBot="1" x14ac:dyDescent="0.3">
      <c r="M159" s="60">
        <f t="shared" si="17"/>
        <v>0</v>
      </c>
    </row>
    <row r="160" spans="13:13" ht="15.75" thickBot="1" x14ac:dyDescent="0.3">
      <c r="M160" s="60">
        <f t="shared" si="17"/>
        <v>0</v>
      </c>
    </row>
    <row r="161" spans="13:13" ht="15.75" thickBot="1" x14ac:dyDescent="0.3">
      <c r="M161" s="60">
        <f t="shared" si="17"/>
        <v>0</v>
      </c>
    </row>
    <row r="162" spans="13:13" ht="15.75" thickBot="1" x14ac:dyDescent="0.3">
      <c r="M162" s="60">
        <f t="shared" si="17"/>
        <v>0</v>
      </c>
    </row>
    <row r="163" spans="13:13" ht="15.75" thickBot="1" x14ac:dyDescent="0.3">
      <c r="M163" s="60">
        <f t="shared" si="17"/>
        <v>0</v>
      </c>
    </row>
    <row r="164" spans="13:13" ht="15.75" thickBot="1" x14ac:dyDescent="0.3">
      <c r="M164" s="60">
        <f t="shared" si="17"/>
        <v>0</v>
      </c>
    </row>
    <row r="165" spans="13:13" ht="15.75" thickBot="1" x14ac:dyDescent="0.3">
      <c r="M165" s="60">
        <f t="shared" si="17"/>
        <v>0</v>
      </c>
    </row>
    <row r="166" spans="13:13" ht="15.75" thickBot="1" x14ac:dyDescent="0.3">
      <c r="M166" s="60">
        <f t="shared" si="17"/>
        <v>0</v>
      </c>
    </row>
    <row r="167" spans="13:13" ht="15.75" thickBot="1" x14ac:dyDescent="0.3">
      <c r="M167" s="60">
        <f t="shared" si="17"/>
        <v>0</v>
      </c>
    </row>
    <row r="168" spans="13:13" ht="15.75" thickBot="1" x14ac:dyDescent="0.3">
      <c r="M168" s="60">
        <f t="shared" si="17"/>
        <v>0</v>
      </c>
    </row>
    <row r="169" spans="13:13" ht="15.75" thickBot="1" x14ac:dyDescent="0.3">
      <c r="M169" s="60">
        <f t="shared" si="17"/>
        <v>0</v>
      </c>
    </row>
    <row r="170" spans="13:13" ht="15.75" thickBot="1" x14ac:dyDescent="0.3">
      <c r="M170" s="60">
        <f t="shared" si="17"/>
        <v>0</v>
      </c>
    </row>
    <row r="171" spans="13:13" ht="15.75" thickBot="1" x14ac:dyDescent="0.3">
      <c r="M171" s="60">
        <f t="shared" si="17"/>
        <v>0</v>
      </c>
    </row>
    <row r="172" spans="13:13" ht="15.75" thickBot="1" x14ac:dyDescent="0.3">
      <c r="M172" s="60">
        <f t="shared" si="17"/>
        <v>0</v>
      </c>
    </row>
    <row r="173" spans="13:13" ht="15.75" thickBot="1" x14ac:dyDescent="0.3">
      <c r="M173" s="60">
        <f t="shared" si="17"/>
        <v>0</v>
      </c>
    </row>
    <row r="174" spans="13:13" ht="15.75" thickBot="1" x14ac:dyDescent="0.3">
      <c r="M174" s="60">
        <f t="shared" si="17"/>
        <v>0</v>
      </c>
    </row>
    <row r="175" spans="13:13" ht="15.75" thickBot="1" x14ac:dyDescent="0.3">
      <c r="M175" s="60">
        <f t="shared" si="17"/>
        <v>0</v>
      </c>
    </row>
    <row r="176" spans="13:13" ht="15.75" thickBot="1" x14ac:dyDescent="0.3">
      <c r="M176" s="60">
        <f t="shared" si="17"/>
        <v>0</v>
      </c>
    </row>
    <row r="177" spans="13:13" ht="15.75" thickBot="1" x14ac:dyDescent="0.3">
      <c r="M177" s="60">
        <f t="shared" si="17"/>
        <v>0</v>
      </c>
    </row>
    <row r="178" spans="13:13" ht="15.75" thickBot="1" x14ac:dyDescent="0.3">
      <c r="M178" s="60">
        <f t="shared" si="17"/>
        <v>0</v>
      </c>
    </row>
    <row r="179" spans="13:13" ht="15.75" thickBot="1" x14ac:dyDescent="0.3">
      <c r="M179" s="60">
        <f t="shared" si="17"/>
        <v>0</v>
      </c>
    </row>
    <row r="180" spans="13:13" ht="15.75" thickBot="1" x14ac:dyDescent="0.3">
      <c r="M180" s="60">
        <f t="shared" si="17"/>
        <v>0</v>
      </c>
    </row>
    <row r="181" spans="13:13" ht="15.75" thickBot="1" x14ac:dyDescent="0.3">
      <c r="M181" s="60">
        <f t="shared" si="17"/>
        <v>0</v>
      </c>
    </row>
    <row r="182" spans="13:13" ht="15.75" thickBot="1" x14ac:dyDescent="0.3">
      <c r="M182" s="60">
        <f t="shared" si="17"/>
        <v>0</v>
      </c>
    </row>
    <row r="183" spans="13:13" ht="15.75" thickBot="1" x14ac:dyDescent="0.3">
      <c r="M183" s="60">
        <f t="shared" si="17"/>
        <v>0</v>
      </c>
    </row>
    <row r="184" spans="13:13" ht="15.75" thickBot="1" x14ac:dyDescent="0.3">
      <c r="M184" s="60">
        <f t="shared" si="17"/>
        <v>0</v>
      </c>
    </row>
    <row r="185" spans="13:13" ht="15.75" thickBot="1" x14ac:dyDescent="0.3">
      <c r="M185" s="60">
        <f t="shared" si="17"/>
        <v>0</v>
      </c>
    </row>
    <row r="186" spans="13:13" ht="15.75" thickBot="1" x14ac:dyDescent="0.3">
      <c r="M186" s="60">
        <f t="shared" si="17"/>
        <v>0</v>
      </c>
    </row>
    <row r="187" spans="13:13" ht="15.75" thickBot="1" x14ac:dyDescent="0.3">
      <c r="M187" s="60">
        <f t="shared" si="17"/>
        <v>0</v>
      </c>
    </row>
    <row r="188" spans="13:13" ht="15.75" thickBot="1" x14ac:dyDescent="0.3">
      <c r="M188" s="60">
        <f t="shared" si="17"/>
        <v>0</v>
      </c>
    </row>
    <row r="189" spans="13:13" ht="15.75" thickBot="1" x14ac:dyDescent="0.3">
      <c r="M189" s="60">
        <f t="shared" si="17"/>
        <v>0</v>
      </c>
    </row>
    <row r="190" spans="13:13" ht="15.75" thickBot="1" x14ac:dyDescent="0.3">
      <c r="M190" s="60">
        <f t="shared" si="17"/>
        <v>0</v>
      </c>
    </row>
    <row r="191" spans="13:13" ht="15.75" thickBot="1" x14ac:dyDescent="0.3">
      <c r="M191" s="60">
        <f t="shared" si="17"/>
        <v>0</v>
      </c>
    </row>
    <row r="192" spans="13:13" ht="15.75" thickBot="1" x14ac:dyDescent="0.3">
      <c r="M192" s="60">
        <f t="shared" si="17"/>
        <v>0</v>
      </c>
    </row>
    <row r="193" spans="13:13" ht="15.75" thickBot="1" x14ac:dyDescent="0.3">
      <c r="M193" s="60">
        <f t="shared" si="17"/>
        <v>0</v>
      </c>
    </row>
    <row r="194" spans="13:13" ht="15.75" thickBot="1" x14ac:dyDescent="0.3">
      <c r="M194" s="60">
        <f t="shared" si="17"/>
        <v>0</v>
      </c>
    </row>
    <row r="195" spans="13:13" ht="15.75" thickBot="1" x14ac:dyDescent="0.3">
      <c r="M195" s="60">
        <f t="shared" si="17"/>
        <v>0</v>
      </c>
    </row>
    <row r="196" spans="13:13" ht="15.75" thickBot="1" x14ac:dyDescent="0.3">
      <c r="M196" s="60">
        <f t="shared" si="17"/>
        <v>0</v>
      </c>
    </row>
    <row r="197" spans="13:13" ht="15.75" thickBot="1" x14ac:dyDescent="0.3">
      <c r="M197" s="60">
        <f t="shared" si="17"/>
        <v>0</v>
      </c>
    </row>
    <row r="198" spans="13:13" ht="15.75" thickBot="1" x14ac:dyDescent="0.3">
      <c r="M198" s="60">
        <f t="shared" si="17"/>
        <v>0</v>
      </c>
    </row>
    <row r="199" spans="13:13" ht="15.75" thickBot="1" x14ac:dyDescent="0.3">
      <c r="M199" s="60">
        <f t="shared" si="17"/>
        <v>0</v>
      </c>
    </row>
    <row r="200" spans="13:13" ht="15.75" thickBot="1" x14ac:dyDescent="0.3">
      <c r="M200" s="60">
        <f t="shared" ref="M200:M263" si="18">J200*G200</f>
        <v>0</v>
      </c>
    </row>
    <row r="201" spans="13:13" ht="15.75" thickBot="1" x14ac:dyDescent="0.3">
      <c r="M201" s="60">
        <f t="shared" si="18"/>
        <v>0</v>
      </c>
    </row>
    <row r="202" spans="13:13" ht="15.75" thickBot="1" x14ac:dyDescent="0.3">
      <c r="M202" s="60">
        <f t="shared" si="18"/>
        <v>0</v>
      </c>
    </row>
    <row r="203" spans="13:13" ht="15.75" thickBot="1" x14ac:dyDescent="0.3">
      <c r="M203" s="60">
        <f t="shared" si="18"/>
        <v>0</v>
      </c>
    </row>
    <row r="204" spans="13:13" ht="15.75" thickBot="1" x14ac:dyDescent="0.3">
      <c r="M204" s="60">
        <f t="shared" si="18"/>
        <v>0</v>
      </c>
    </row>
    <row r="205" spans="13:13" ht="15.75" thickBot="1" x14ac:dyDescent="0.3">
      <c r="M205" s="60">
        <f t="shared" si="18"/>
        <v>0</v>
      </c>
    </row>
    <row r="206" spans="13:13" ht="15.75" thickBot="1" x14ac:dyDescent="0.3">
      <c r="M206" s="60">
        <f t="shared" si="18"/>
        <v>0</v>
      </c>
    </row>
    <row r="207" spans="13:13" ht="15.75" thickBot="1" x14ac:dyDescent="0.3">
      <c r="M207" s="60">
        <f t="shared" si="18"/>
        <v>0</v>
      </c>
    </row>
    <row r="208" spans="13:13" ht="15.75" thickBot="1" x14ac:dyDescent="0.3">
      <c r="M208" s="60">
        <f t="shared" si="18"/>
        <v>0</v>
      </c>
    </row>
    <row r="209" spans="13:13" ht="15.75" thickBot="1" x14ac:dyDescent="0.3">
      <c r="M209" s="60">
        <f t="shared" si="18"/>
        <v>0</v>
      </c>
    </row>
    <row r="210" spans="13:13" ht="15.75" thickBot="1" x14ac:dyDescent="0.3">
      <c r="M210" s="60">
        <f t="shared" si="18"/>
        <v>0</v>
      </c>
    </row>
    <row r="211" spans="13:13" ht="15.75" thickBot="1" x14ac:dyDescent="0.3">
      <c r="M211" s="60">
        <f t="shared" si="18"/>
        <v>0</v>
      </c>
    </row>
    <row r="212" spans="13:13" ht="15.75" thickBot="1" x14ac:dyDescent="0.3">
      <c r="M212" s="60">
        <f t="shared" si="18"/>
        <v>0</v>
      </c>
    </row>
    <row r="213" spans="13:13" ht="15.75" thickBot="1" x14ac:dyDescent="0.3">
      <c r="M213" s="60">
        <f t="shared" si="18"/>
        <v>0</v>
      </c>
    </row>
    <row r="214" spans="13:13" ht="15.75" thickBot="1" x14ac:dyDescent="0.3">
      <c r="M214" s="60">
        <f t="shared" si="18"/>
        <v>0</v>
      </c>
    </row>
    <row r="215" spans="13:13" ht="15.75" thickBot="1" x14ac:dyDescent="0.3">
      <c r="M215" s="60">
        <f t="shared" si="18"/>
        <v>0</v>
      </c>
    </row>
    <row r="216" spans="13:13" ht="15.75" thickBot="1" x14ac:dyDescent="0.3">
      <c r="M216" s="60">
        <f t="shared" si="18"/>
        <v>0</v>
      </c>
    </row>
    <row r="217" spans="13:13" ht="15.75" thickBot="1" x14ac:dyDescent="0.3">
      <c r="M217" s="60">
        <f t="shared" si="18"/>
        <v>0</v>
      </c>
    </row>
    <row r="218" spans="13:13" ht="15.75" thickBot="1" x14ac:dyDescent="0.3">
      <c r="M218" s="60">
        <f t="shared" si="18"/>
        <v>0</v>
      </c>
    </row>
    <row r="219" spans="13:13" ht="15.75" thickBot="1" x14ac:dyDescent="0.3">
      <c r="M219" s="60">
        <f t="shared" si="18"/>
        <v>0</v>
      </c>
    </row>
    <row r="220" spans="13:13" ht="15.75" thickBot="1" x14ac:dyDescent="0.3">
      <c r="M220" s="60">
        <f t="shared" si="18"/>
        <v>0</v>
      </c>
    </row>
    <row r="221" spans="13:13" ht="15.75" thickBot="1" x14ac:dyDescent="0.3">
      <c r="M221" s="60">
        <f t="shared" si="18"/>
        <v>0</v>
      </c>
    </row>
    <row r="222" spans="13:13" ht="15.75" thickBot="1" x14ac:dyDescent="0.3">
      <c r="M222" s="60">
        <f t="shared" si="18"/>
        <v>0</v>
      </c>
    </row>
    <row r="223" spans="13:13" ht="15.75" thickBot="1" x14ac:dyDescent="0.3">
      <c r="M223" s="60">
        <f t="shared" si="18"/>
        <v>0</v>
      </c>
    </row>
    <row r="224" spans="13:13" ht="15.75" thickBot="1" x14ac:dyDescent="0.3">
      <c r="M224" s="60">
        <f t="shared" si="18"/>
        <v>0</v>
      </c>
    </row>
    <row r="225" spans="13:13" ht="15.75" thickBot="1" x14ac:dyDescent="0.3">
      <c r="M225" s="60">
        <f t="shared" si="18"/>
        <v>0</v>
      </c>
    </row>
    <row r="226" spans="13:13" ht="15.75" thickBot="1" x14ac:dyDescent="0.3">
      <c r="M226" s="60">
        <f t="shared" si="18"/>
        <v>0</v>
      </c>
    </row>
    <row r="227" spans="13:13" ht="15.75" thickBot="1" x14ac:dyDescent="0.3">
      <c r="M227" s="60">
        <f t="shared" si="18"/>
        <v>0</v>
      </c>
    </row>
    <row r="228" spans="13:13" ht="15.75" thickBot="1" x14ac:dyDescent="0.3">
      <c r="M228" s="60">
        <f t="shared" si="18"/>
        <v>0</v>
      </c>
    </row>
    <row r="229" spans="13:13" ht="15.75" thickBot="1" x14ac:dyDescent="0.3">
      <c r="M229" s="60">
        <f t="shared" si="18"/>
        <v>0</v>
      </c>
    </row>
    <row r="230" spans="13:13" ht="15.75" thickBot="1" x14ac:dyDescent="0.3">
      <c r="M230" s="60">
        <f t="shared" si="18"/>
        <v>0</v>
      </c>
    </row>
    <row r="231" spans="13:13" ht="15.75" thickBot="1" x14ac:dyDescent="0.3">
      <c r="M231" s="60">
        <f t="shared" si="18"/>
        <v>0</v>
      </c>
    </row>
    <row r="232" spans="13:13" ht="15.75" thickBot="1" x14ac:dyDescent="0.3">
      <c r="M232" s="60">
        <f t="shared" si="18"/>
        <v>0</v>
      </c>
    </row>
    <row r="233" spans="13:13" ht="15.75" thickBot="1" x14ac:dyDescent="0.3">
      <c r="M233" s="60">
        <f t="shared" si="18"/>
        <v>0</v>
      </c>
    </row>
    <row r="234" spans="13:13" ht="15.75" thickBot="1" x14ac:dyDescent="0.3">
      <c r="M234" s="60">
        <f t="shared" si="18"/>
        <v>0</v>
      </c>
    </row>
    <row r="235" spans="13:13" ht="15.75" thickBot="1" x14ac:dyDescent="0.3">
      <c r="M235" s="60">
        <f t="shared" si="18"/>
        <v>0</v>
      </c>
    </row>
    <row r="236" spans="13:13" ht="15.75" thickBot="1" x14ac:dyDescent="0.3">
      <c r="M236" s="60">
        <f t="shared" si="18"/>
        <v>0</v>
      </c>
    </row>
    <row r="237" spans="13:13" ht="15.75" thickBot="1" x14ac:dyDescent="0.3">
      <c r="M237" s="60">
        <f t="shared" si="18"/>
        <v>0</v>
      </c>
    </row>
    <row r="238" spans="13:13" ht="15.75" thickBot="1" x14ac:dyDescent="0.3">
      <c r="M238" s="60">
        <f t="shared" si="18"/>
        <v>0</v>
      </c>
    </row>
    <row r="239" spans="13:13" ht="15.75" thickBot="1" x14ac:dyDescent="0.3">
      <c r="M239" s="60">
        <f t="shared" si="18"/>
        <v>0</v>
      </c>
    </row>
    <row r="240" spans="13:13" ht="15.75" thickBot="1" x14ac:dyDescent="0.3">
      <c r="M240" s="60">
        <f t="shared" si="18"/>
        <v>0</v>
      </c>
    </row>
    <row r="241" spans="13:13" ht="15.75" thickBot="1" x14ac:dyDescent="0.3">
      <c r="M241" s="60">
        <f t="shared" si="18"/>
        <v>0</v>
      </c>
    </row>
    <row r="242" spans="13:13" ht="15.75" thickBot="1" x14ac:dyDescent="0.3">
      <c r="M242" s="60">
        <f t="shared" si="18"/>
        <v>0</v>
      </c>
    </row>
    <row r="243" spans="13:13" ht="15.75" thickBot="1" x14ac:dyDescent="0.3">
      <c r="M243" s="60">
        <f t="shared" si="18"/>
        <v>0</v>
      </c>
    </row>
    <row r="244" spans="13:13" ht="15.75" thickBot="1" x14ac:dyDescent="0.3">
      <c r="M244" s="60">
        <f t="shared" si="18"/>
        <v>0</v>
      </c>
    </row>
    <row r="245" spans="13:13" ht="15.75" thickBot="1" x14ac:dyDescent="0.3">
      <c r="M245" s="60">
        <f t="shared" si="18"/>
        <v>0</v>
      </c>
    </row>
    <row r="246" spans="13:13" ht="15.75" thickBot="1" x14ac:dyDescent="0.3">
      <c r="M246" s="60">
        <f t="shared" si="18"/>
        <v>0</v>
      </c>
    </row>
    <row r="247" spans="13:13" ht="15.75" thickBot="1" x14ac:dyDescent="0.3">
      <c r="M247" s="60">
        <f t="shared" si="18"/>
        <v>0</v>
      </c>
    </row>
    <row r="248" spans="13:13" ht="15.75" thickBot="1" x14ac:dyDescent="0.3">
      <c r="M248" s="60">
        <f t="shared" si="18"/>
        <v>0</v>
      </c>
    </row>
    <row r="249" spans="13:13" ht="15.75" thickBot="1" x14ac:dyDescent="0.3">
      <c r="M249" s="60">
        <f t="shared" si="18"/>
        <v>0</v>
      </c>
    </row>
    <row r="250" spans="13:13" ht="15.75" thickBot="1" x14ac:dyDescent="0.3">
      <c r="M250" s="60">
        <f t="shared" si="18"/>
        <v>0</v>
      </c>
    </row>
    <row r="251" spans="13:13" ht="15.75" thickBot="1" x14ac:dyDescent="0.3">
      <c r="M251" s="60">
        <f t="shared" si="18"/>
        <v>0</v>
      </c>
    </row>
    <row r="252" spans="13:13" ht="15.75" thickBot="1" x14ac:dyDescent="0.3">
      <c r="M252" s="60">
        <f t="shared" si="18"/>
        <v>0</v>
      </c>
    </row>
    <row r="253" spans="13:13" ht="15.75" thickBot="1" x14ac:dyDescent="0.3">
      <c r="M253" s="60">
        <f t="shared" si="18"/>
        <v>0</v>
      </c>
    </row>
    <row r="254" spans="13:13" ht="15.75" thickBot="1" x14ac:dyDescent="0.3">
      <c r="M254" s="60">
        <f t="shared" si="18"/>
        <v>0</v>
      </c>
    </row>
    <row r="255" spans="13:13" ht="15.75" thickBot="1" x14ac:dyDescent="0.3">
      <c r="M255" s="60">
        <f t="shared" si="18"/>
        <v>0</v>
      </c>
    </row>
    <row r="256" spans="13:13" ht="15.75" thickBot="1" x14ac:dyDescent="0.3">
      <c r="M256" s="60">
        <f t="shared" si="18"/>
        <v>0</v>
      </c>
    </row>
    <row r="257" spans="13:13" ht="15.75" thickBot="1" x14ac:dyDescent="0.3">
      <c r="M257" s="60">
        <f t="shared" si="18"/>
        <v>0</v>
      </c>
    </row>
    <row r="258" spans="13:13" ht="15.75" thickBot="1" x14ac:dyDescent="0.3">
      <c r="M258" s="60">
        <f t="shared" si="18"/>
        <v>0</v>
      </c>
    </row>
    <row r="259" spans="13:13" ht="15.75" thickBot="1" x14ac:dyDescent="0.3">
      <c r="M259" s="60">
        <f t="shared" si="18"/>
        <v>0</v>
      </c>
    </row>
    <row r="260" spans="13:13" ht="15.75" thickBot="1" x14ac:dyDescent="0.3">
      <c r="M260" s="60">
        <f t="shared" si="18"/>
        <v>0</v>
      </c>
    </row>
    <row r="261" spans="13:13" ht="15.75" thickBot="1" x14ac:dyDescent="0.3">
      <c r="M261" s="60">
        <f t="shared" si="18"/>
        <v>0</v>
      </c>
    </row>
    <row r="262" spans="13:13" ht="15.75" thickBot="1" x14ac:dyDescent="0.3">
      <c r="M262" s="60">
        <f t="shared" si="18"/>
        <v>0</v>
      </c>
    </row>
    <row r="263" spans="13:13" ht="15.75" thickBot="1" x14ac:dyDescent="0.3">
      <c r="M263" s="60">
        <f t="shared" si="18"/>
        <v>0</v>
      </c>
    </row>
    <row r="264" spans="13:13" ht="15.75" thickBot="1" x14ac:dyDescent="0.3">
      <c r="M264" s="60">
        <f t="shared" ref="M264:M327" si="19">J264*G264</f>
        <v>0</v>
      </c>
    </row>
    <row r="265" spans="13:13" ht="15.75" thickBot="1" x14ac:dyDescent="0.3">
      <c r="M265" s="60">
        <f t="shared" si="19"/>
        <v>0</v>
      </c>
    </row>
    <row r="266" spans="13:13" ht="15.75" thickBot="1" x14ac:dyDescent="0.3">
      <c r="M266" s="60">
        <f t="shared" si="19"/>
        <v>0</v>
      </c>
    </row>
    <row r="267" spans="13:13" ht="15.75" thickBot="1" x14ac:dyDescent="0.3">
      <c r="M267" s="60">
        <f t="shared" si="19"/>
        <v>0</v>
      </c>
    </row>
    <row r="268" spans="13:13" ht="15.75" thickBot="1" x14ac:dyDescent="0.3">
      <c r="M268" s="60">
        <f t="shared" si="19"/>
        <v>0</v>
      </c>
    </row>
    <row r="269" spans="13:13" ht="15.75" thickBot="1" x14ac:dyDescent="0.3">
      <c r="M269" s="60">
        <f t="shared" si="19"/>
        <v>0</v>
      </c>
    </row>
    <row r="270" spans="13:13" ht="15.75" thickBot="1" x14ac:dyDescent="0.3">
      <c r="M270" s="60">
        <f t="shared" si="19"/>
        <v>0</v>
      </c>
    </row>
    <row r="271" spans="13:13" ht="15.75" thickBot="1" x14ac:dyDescent="0.3">
      <c r="M271" s="60">
        <f t="shared" si="19"/>
        <v>0</v>
      </c>
    </row>
    <row r="272" spans="13:13" ht="15.75" thickBot="1" x14ac:dyDescent="0.3">
      <c r="M272" s="60">
        <f t="shared" si="19"/>
        <v>0</v>
      </c>
    </row>
    <row r="273" spans="13:13" ht="15.75" thickBot="1" x14ac:dyDescent="0.3">
      <c r="M273" s="60">
        <f t="shared" si="19"/>
        <v>0</v>
      </c>
    </row>
    <row r="274" spans="13:13" ht="15.75" thickBot="1" x14ac:dyDescent="0.3">
      <c r="M274" s="60">
        <f t="shared" si="19"/>
        <v>0</v>
      </c>
    </row>
    <row r="275" spans="13:13" ht="15.75" thickBot="1" x14ac:dyDescent="0.3">
      <c r="M275" s="60">
        <f t="shared" si="19"/>
        <v>0</v>
      </c>
    </row>
    <row r="276" spans="13:13" ht="15.75" thickBot="1" x14ac:dyDescent="0.3">
      <c r="M276" s="60">
        <f t="shared" si="19"/>
        <v>0</v>
      </c>
    </row>
    <row r="277" spans="13:13" ht="15.75" thickBot="1" x14ac:dyDescent="0.3">
      <c r="M277" s="60">
        <f t="shared" si="19"/>
        <v>0</v>
      </c>
    </row>
    <row r="278" spans="13:13" ht="15.75" thickBot="1" x14ac:dyDescent="0.3">
      <c r="M278" s="60">
        <f t="shared" si="19"/>
        <v>0</v>
      </c>
    </row>
    <row r="279" spans="13:13" ht="15.75" thickBot="1" x14ac:dyDescent="0.3">
      <c r="M279" s="60">
        <f t="shared" si="19"/>
        <v>0</v>
      </c>
    </row>
    <row r="280" spans="13:13" ht="15.75" thickBot="1" x14ac:dyDescent="0.3">
      <c r="M280" s="60">
        <f t="shared" si="19"/>
        <v>0</v>
      </c>
    </row>
    <row r="281" spans="13:13" ht="15.75" thickBot="1" x14ac:dyDescent="0.3">
      <c r="M281" s="60">
        <f t="shared" si="19"/>
        <v>0</v>
      </c>
    </row>
    <row r="282" spans="13:13" ht="15.75" thickBot="1" x14ac:dyDescent="0.3">
      <c r="M282" s="60">
        <f t="shared" si="19"/>
        <v>0</v>
      </c>
    </row>
    <row r="283" spans="13:13" ht="15.75" thickBot="1" x14ac:dyDescent="0.3">
      <c r="M283" s="60">
        <f t="shared" si="19"/>
        <v>0</v>
      </c>
    </row>
    <row r="284" spans="13:13" ht="15.75" thickBot="1" x14ac:dyDescent="0.3">
      <c r="M284" s="60">
        <f t="shared" si="19"/>
        <v>0</v>
      </c>
    </row>
    <row r="285" spans="13:13" ht="15.75" thickBot="1" x14ac:dyDescent="0.3">
      <c r="M285" s="60">
        <f t="shared" si="19"/>
        <v>0</v>
      </c>
    </row>
    <row r="286" spans="13:13" ht="15.75" thickBot="1" x14ac:dyDescent="0.3">
      <c r="M286" s="60">
        <f t="shared" si="19"/>
        <v>0</v>
      </c>
    </row>
    <row r="287" spans="13:13" ht="15.75" thickBot="1" x14ac:dyDescent="0.3">
      <c r="M287" s="60">
        <f t="shared" si="19"/>
        <v>0</v>
      </c>
    </row>
    <row r="288" spans="13:13" ht="15.75" thickBot="1" x14ac:dyDescent="0.3">
      <c r="M288" s="60">
        <f t="shared" si="19"/>
        <v>0</v>
      </c>
    </row>
    <row r="289" spans="13:13" ht="15.75" thickBot="1" x14ac:dyDescent="0.3">
      <c r="M289" s="60">
        <f t="shared" si="19"/>
        <v>0</v>
      </c>
    </row>
    <row r="290" spans="13:13" ht="15.75" thickBot="1" x14ac:dyDescent="0.3">
      <c r="M290" s="60">
        <f t="shared" si="19"/>
        <v>0</v>
      </c>
    </row>
    <row r="291" spans="13:13" ht="15.75" thickBot="1" x14ac:dyDescent="0.3">
      <c r="M291" s="60">
        <f t="shared" si="19"/>
        <v>0</v>
      </c>
    </row>
    <row r="292" spans="13:13" ht="15.75" thickBot="1" x14ac:dyDescent="0.3">
      <c r="M292" s="60">
        <f t="shared" si="19"/>
        <v>0</v>
      </c>
    </row>
    <row r="293" spans="13:13" ht="15.75" thickBot="1" x14ac:dyDescent="0.3">
      <c r="M293" s="60">
        <f t="shared" si="19"/>
        <v>0</v>
      </c>
    </row>
    <row r="294" spans="13:13" ht="15.75" thickBot="1" x14ac:dyDescent="0.3">
      <c r="M294" s="60">
        <f t="shared" si="19"/>
        <v>0</v>
      </c>
    </row>
    <row r="295" spans="13:13" ht="15.75" thickBot="1" x14ac:dyDescent="0.3">
      <c r="M295" s="60">
        <f t="shared" si="19"/>
        <v>0</v>
      </c>
    </row>
    <row r="296" spans="13:13" ht="15.75" thickBot="1" x14ac:dyDescent="0.3">
      <c r="M296" s="60">
        <f t="shared" si="19"/>
        <v>0</v>
      </c>
    </row>
    <row r="297" spans="13:13" ht="15.75" thickBot="1" x14ac:dyDescent="0.3">
      <c r="M297" s="60">
        <f t="shared" si="19"/>
        <v>0</v>
      </c>
    </row>
    <row r="298" spans="13:13" ht="15.75" thickBot="1" x14ac:dyDescent="0.3">
      <c r="M298" s="60">
        <f t="shared" si="19"/>
        <v>0</v>
      </c>
    </row>
    <row r="299" spans="13:13" ht="15.75" thickBot="1" x14ac:dyDescent="0.3">
      <c r="M299" s="60">
        <f t="shared" si="19"/>
        <v>0</v>
      </c>
    </row>
    <row r="300" spans="13:13" ht="15.75" thickBot="1" x14ac:dyDescent="0.3">
      <c r="M300" s="60">
        <f t="shared" si="19"/>
        <v>0</v>
      </c>
    </row>
    <row r="301" spans="13:13" ht="15.75" thickBot="1" x14ac:dyDescent="0.3">
      <c r="M301" s="60">
        <f t="shared" si="19"/>
        <v>0</v>
      </c>
    </row>
    <row r="302" spans="13:13" ht="15.75" thickBot="1" x14ac:dyDescent="0.3">
      <c r="M302" s="60">
        <f t="shared" si="19"/>
        <v>0</v>
      </c>
    </row>
    <row r="303" spans="13:13" ht="15.75" thickBot="1" x14ac:dyDescent="0.3">
      <c r="M303" s="60">
        <f t="shared" si="19"/>
        <v>0</v>
      </c>
    </row>
    <row r="304" spans="13:13" ht="15.75" thickBot="1" x14ac:dyDescent="0.3">
      <c r="M304" s="60">
        <f t="shared" si="19"/>
        <v>0</v>
      </c>
    </row>
    <row r="305" spans="13:13" ht="15.75" thickBot="1" x14ac:dyDescent="0.3">
      <c r="M305" s="60">
        <f t="shared" si="19"/>
        <v>0</v>
      </c>
    </row>
    <row r="306" spans="13:13" ht="15.75" thickBot="1" x14ac:dyDescent="0.3">
      <c r="M306" s="60">
        <f t="shared" si="19"/>
        <v>0</v>
      </c>
    </row>
    <row r="307" spans="13:13" ht="15.75" thickBot="1" x14ac:dyDescent="0.3">
      <c r="M307" s="60">
        <f t="shared" si="19"/>
        <v>0</v>
      </c>
    </row>
    <row r="308" spans="13:13" ht="15.75" thickBot="1" x14ac:dyDescent="0.3">
      <c r="M308" s="60">
        <f t="shared" si="19"/>
        <v>0</v>
      </c>
    </row>
    <row r="309" spans="13:13" ht="15.75" thickBot="1" x14ac:dyDescent="0.3">
      <c r="M309" s="60">
        <f t="shared" si="19"/>
        <v>0</v>
      </c>
    </row>
    <row r="310" spans="13:13" ht="15.75" thickBot="1" x14ac:dyDescent="0.3">
      <c r="M310" s="60">
        <f t="shared" si="19"/>
        <v>0</v>
      </c>
    </row>
    <row r="311" spans="13:13" ht="15.75" thickBot="1" x14ac:dyDescent="0.3">
      <c r="M311" s="60">
        <f t="shared" si="19"/>
        <v>0</v>
      </c>
    </row>
    <row r="312" spans="13:13" ht="15.75" thickBot="1" x14ac:dyDescent="0.3">
      <c r="M312" s="60">
        <f t="shared" si="19"/>
        <v>0</v>
      </c>
    </row>
    <row r="313" spans="13:13" ht="15.75" thickBot="1" x14ac:dyDescent="0.3">
      <c r="M313" s="60">
        <f t="shared" si="19"/>
        <v>0</v>
      </c>
    </row>
    <row r="314" spans="13:13" ht="15.75" thickBot="1" x14ac:dyDescent="0.3">
      <c r="M314" s="60">
        <f t="shared" si="19"/>
        <v>0</v>
      </c>
    </row>
    <row r="315" spans="13:13" ht="15.75" thickBot="1" x14ac:dyDescent="0.3">
      <c r="M315" s="60">
        <f t="shared" si="19"/>
        <v>0</v>
      </c>
    </row>
    <row r="316" spans="13:13" ht="15.75" thickBot="1" x14ac:dyDescent="0.3">
      <c r="M316" s="60">
        <f t="shared" si="19"/>
        <v>0</v>
      </c>
    </row>
    <row r="317" spans="13:13" ht="15.75" thickBot="1" x14ac:dyDescent="0.3">
      <c r="M317" s="60">
        <f t="shared" si="19"/>
        <v>0</v>
      </c>
    </row>
    <row r="318" spans="13:13" ht="15.75" thickBot="1" x14ac:dyDescent="0.3">
      <c r="M318" s="60">
        <f t="shared" si="19"/>
        <v>0</v>
      </c>
    </row>
    <row r="319" spans="13:13" ht="15.75" thickBot="1" x14ac:dyDescent="0.3">
      <c r="M319" s="60">
        <f t="shared" si="19"/>
        <v>0</v>
      </c>
    </row>
    <row r="320" spans="13:13" ht="15.75" thickBot="1" x14ac:dyDescent="0.3">
      <c r="M320" s="60">
        <f t="shared" si="19"/>
        <v>0</v>
      </c>
    </row>
    <row r="321" spans="13:13" ht="15.75" thickBot="1" x14ac:dyDescent="0.3">
      <c r="M321" s="60">
        <f t="shared" si="19"/>
        <v>0</v>
      </c>
    </row>
    <row r="322" spans="13:13" ht="15.75" thickBot="1" x14ac:dyDescent="0.3">
      <c r="M322" s="60">
        <f t="shared" si="19"/>
        <v>0</v>
      </c>
    </row>
    <row r="323" spans="13:13" ht="15.75" thickBot="1" x14ac:dyDescent="0.3">
      <c r="M323" s="60">
        <f t="shared" si="19"/>
        <v>0</v>
      </c>
    </row>
    <row r="324" spans="13:13" ht="15.75" thickBot="1" x14ac:dyDescent="0.3">
      <c r="M324" s="60">
        <f t="shared" si="19"/>
        <v>0</v>
      </c>
    </row>
    <row r="325" spans="13:13" ht="15.75" thickBot="1" x14ac:dyDescent="0.3">
      <c r="M325" s="60">
        <f t="shared" si="19"/>
        <v>0</v>
      </c>
    </row>
    <row r="326" spans="13:13" ht="15.75" thickBot="1" x14ac:dyDescent="0.3">
      <c r="M326" s="60">
        <f t="shared" si="19"/>
        <v>0</v>
      </c>
    </row>
    <row r="327" spans="13:13" ht="15.75" thickBot="1" x14ac:dyDescent="0.3">
      <c r="M327" s="60">
        <f t="shared" si="19"/>
        <v>0</v>
      </c>
    </row>
    <row r="328" spans="13:13" ht="15.75" thickBot="1" x14ac:dyDescent="0.3">
      <c r="M328" s="60">
        <f t="shared" ref="M328:M391" si="20">J328*G328</f>
        <v>0</v>
      </c>
    </row>
    <row r="329" spans="13:13" ht="15.75" thickBot="1" x14ac:dyDescent="0.3">
      <c r="M329" s="60">
        <f t="shared" si="20"/>
        <v>0</v>
      </c>
    </row>
    <row r="330" spans="13:13" ht="15.75" thickBot="1" x14ac:dyDescent="0.3">
      <c r="M330" s="60">
        <f t="shared" si="20"/>
        <v>0</v>
      </c>
    </row>
    <row r="331" spans="13:13" ht="15.75" thickBot="1" x14ac:dyDescent="0.3">
      <c r="M331" s="60">
        <f t="shared" si="20"/>
        <v>0</v>
      </c>
    </row>
    <row r="332" spans="13:13" ht="15.75" thickBot="1" x14ac:dyDescent="0.3">
      <c r="M332" s="60">
        <f t="shared" si="20"/>
        <v>0</v>
      </c>
    </row>
    <row r="333" spans="13:13" ht="15.75" thickBot="1" x14ac:dyDescent="0.3">
      <c r="M333" s="60">
        <f t="shared" si="20"/>
        <v>0</v>
      </c>
    </row>
    <row r="334" spans="13:13" ht="15.75" thickBot="1" x14ac:dyDescent="0.3">
      <c r="M334" s="60">
        <f t="shared" si="20"/>
        <v>0</v>
      </c>
    </row>
    <row r="335" spans="13:13" ht="15.75" thickBot="1" x14ac:dyDescent="0.3">
      <c r="M335" s="60">
        <f t="shared" si="20"/>
        <v>0</v>
      </c>
    </row>
    <row r="336" spans="13:13" ht="15.75" thickBot="1" x14ac:dyDescent="0.3">
      <c r="M336" s="60">
        <f t="shared" si="20"/>
        <v>0</v>
      </c>
    </row>
    <row r="337" spans="13:13" ht="15.75" thickBot="1" x14ac:dyDescent="0.3">
      <c r="M337" s="60">
        <f t="shared" si="20"/>
        <v>0</v>
      </c>
    </row>
    <row r="338" spans="13:13" ht="15.75" thickBot="1" x14ac:dyDescent="0.3">
      <c r="M338" s="60">
        <f t="shared" si="20"/>
        <v>0</v>
      </c>
    </row>
    <row r="339" spans="13:13" ht="15.75" thickBot="1" x14ac:dyDescent="0.3">
      <c r="M339" s="60">
        <f t="shared" si="20"/>
        <v>0</v>
      </c>
    </row>
    <row r="340" spans="13:13" ht="15.75" thickBot="1" x14ac:dyDescent="0.3">
      <c r="M340" s="60">
        <f t="shared" si="20"/>
        <v>0</v>
      </c>
    </row>
    <row r="341" spans="13:13" ht="15.75" thickBot="1" x14ac:dyDescent="0.3">
      <c r="M341" s="60">
        <f t="shared" si="20"/>
        <v>0</v>
      </c>
    </row>
    <row r="342" spans="13:13" ht="15.75" thickBot="1" x14ac:dyDescent="0.3">
      <c r="M342" s="60">
        <f t="shared" si="20"/>
        <v>0</v>
      </c>
    </row>
    <row r="343" spans="13:13" ht="15.75" thickBot="1" x14ac:dyDescent="0.3">
      <c r="M343" s="60">
        <f t="shared" si="20"/>
        <v>0</v>
      </c>
    </row>
    <row r="344" spans="13:13" ht="15.75" thickBot="1" x14ac:dyDescent="0.3">
      <c r="M344" s="60">
        <f t="shared" si="20"/>
        <v>0</v>
      </c>
    </row>
    <row r="345" spans="13:13" ht="15.75" thickBot="1" x14ac:dyDescent="0.3">
      <c r="M345" s="60">
        <f t="shared" si="20"/>
        <v>0</v>
      </c>
    </row>
    <row r="346" spans="13:13" ht="15.75" thickBot="1" x14ac:dyDescent="0.3">
      <c r="M346" s="60">
        <f t="shared" si="20"/>
        <v>0</v>
      </c>
    </row>
    <row r="347" spans="13:13" ht="15.75" thickBot="1" x14ac:dyDescent="0.3">
      <c r="M347" s="60">
        <f t="shared" si="20"/>
        <v>0</v>
      </c>
    </row>
    <row r="348" spans="13:13" ht="15.75" thickBot="1" x14ac:dyDescent="0.3">
      <c r="M348" s="60">
        <f t="shared" si="20"/>
        <v>0</v>
      </c>
    </row>
    <row r="349" spans="13:13" ht="15.75" thickBot="1" x14ac:dyDescent="0.3">
      <c r="M349" s="60">
        <f t="shared" si="20"/>
        <v>0</v>
      </c>
    </row>
    <row r="350" spans="13:13" ht="15.75" thickBot="1" x14ac:dyDescent="0.3">
      <c r="M350" s="60">
        <f t="shared" si="20"/>
        <v>0</v>
      </c>
    </row>
    <row r="351" spans="13:13" ht="15.75" thickBot="1" x14ac:dyDescent="0.3">
      <c r="M351" s="60">
        <f t="shared" si="20"/>
        <v>0</v>
      </c>
    </row>
    <row r="352" spans="13:13" ht="15.75" thickBot="1" x14ac:dyDescent="0.3">
      <c r="M352" s="60">
        <f t="shared" si="20"/>
        <v>0</v>
      </c>
    </row>
    <row r="353" spans="13:13" ht="15.75" thickBot="1" x14ac:dyDescent="0.3">
      <c r="M353" s="60">
        <f t="shared" si="20"/>
        <v>0</v>
      </c>
    </row>
    <row r="354" spans="13:13" ht="15.75" thickBot="1" x14ac:dyDescent="0.3">
      <c r="M354" s="60">
        <f t="shared" si="20"/>
        <v>0</v>
      </c>
    </row>
    <row r="355" spans="13:13" ht="15.75" thickBot="1" x14ac:dyDescent="0.3">
      <c r="M355" s="60">
        <f t="shared" si="20"/>
        <v>0</v>
      </c>
    </row>
    <row r="356" spans="13:13" ht="15.75" thickBot="1" x14ac:dyDescent="0.3">
      <c r="M356" s="60">
        <f t="shared" si="20"/>
        <v>0</v>
      </c>
    </row>
    <row r="357" spans="13:13" ht="15.75" thickBot="1" x14ac:dyDescent="0.3">
      <c r="M357" s="60">
        <f t="shared" si="20"/>
        <v>0</v>
      </c>
    </row>
    <row r="358" spans="13:13" ht="15.75" thickBot="1" x14ac:dyDescent="0.3">
      <c r="M358" s="60">
        <f t="shared" si="20"/>
        <v>0</v>
      </c>
    </row>
    <row r="359" spans="13:13" ht="15.75" thickBot="1" x14ac:dyDescent="0.3">
      <c r="M359" s="60">
        <f t="shared" si="20"/>
        <v>0</v>
      </c>
    </row>
    <row r="360" spans="13:13" ht="15.75" thickBot="1" x14ac:dyDescent="0.3">
      <c r="M360" s="60">
        <f t="shared" si="20"/>
        <v>0</v>
      </c>
    </row>
    <row r="361" spans="13:13" ht="15.75" thickBot="1" x14ac:dyDescent="0.3">
      <c r="M361" s="60">
        <f t="shared" si="20"/>
        <v>0</v>
      </c>
    </row>
    <row r="362" spans="13:13" ht="15.75" thickBot="1" x14ac:dyDescent="0.3">
      <c r="M362" s="60">
        <f t="shared" si="20"/>
        <v>0</v>
      </c>
    </row>
    <row r="363" spans="13:13" ht="15.75" thickBot="1" x14ac:dyDescent="0.3">
      <c r="M363" s="60">
        <f t="shared" si="20"/>
        <v>0</v>
      </c>
    </row>
    <row r="364" spans="13:13" ht="15.75" thickBot="1" x14ac:dyDescent="0.3">
      <c r="M364" s="60">
        <f t="shared" si="20"/>
        <v>0</v>
      </c>
    </row>
    <row r="365" spans="13:13" ht="15.75" thickBot="1" x14ac:dyDescent="0.3">
      <c r="M365" s="60">
        <f t="shared" si="20"/>
        <v>0</v>
      </c>
    </row>
    <row r="366" spans="13:13" ht="15.75" thickBot="1" x14ac:dyDescent="0.3">
      <c r="M366" s="60">
        <f t="shared" si="20"/>
        <v>0</v>
      </c>
    </row>
    <row r="367" spans="13:13" ht="15.75" thickBot="1" x14ac:dyDescent="0.3">
      <c r="M367" s="60">
        <f t="shared" si="20"/>
        <v>0</v>
      </c>
    </row>
    <row r="368" spans="13:13" ht="15.75" thickBot="1" x14ac:dyDescent="0.3">
      <c r="M368" s="60">
        <f t="shared" si="20"/>
        <v>0</v>
      </c>
    </row>
    <row r="369" spans="13:13" ht="15.75" thickBot="1" x14ac:dyDescent="0.3">
      <c r="M369" s="60">
        <f t="shared" si="20"/>
        <v>0</v>
      </c>
    </row>
    <row r="370" spans="13:13" ht="15.75" thickBot="1" x14ac:dyDescent="0.3">
      <c r="M370" s="60">
        <f t="shared" si="20"/>
        <v>0</v>
      </c>
    </row>
    <row r="371" spans="13:13" ht="15.75" thickBot="1" x14ac:dyDescent="0.3">
      <c r="M371" s="60">
        <f t="shared" si="20"/>
        <v>0</v>
      </c>
    </row>
    <row r="372" spans="13:13" ht="15.75" thickBot="1" x14ac:dyDescent="0.3">
      <c r="M372" s="60">
        <f t="shared" si="20"/>
        <v>0</v>
      </c>
    </row>
    <row r="373" spans="13:13" ht="15.75" thickBot="1" x14ac:dyDescent="0.3">
      <c r="M373" s="60">
        <f t="shared" si="20"/>
        <v>0</v>
      </c>
    </row>
    <row r="374" spans="13:13" ht="15.75" thickBot="1" x14ac:dyDescent="0.3">
      <c r="M374" s="60">
        <f t="shared" si="20"/>
        <v>0</v>
      </c>
    </row>
    <row r="375" spans="13:13" ht="15.75" thickBot="1" x14ac:dyDescent="0.3">
      <c r="M375" s="60">
        <f t="shared" si="20"/>
        <v>0</v>
      </c>
    </row>
    <row r="376" spans="13:13" ht="15.75" thickBot="1" x14ac:dyDescent="0.3">
      <c r="M376" s="60">
        <f t="shared" si="20"/>
        <v>0</v>
      </c>
    </row>
    <row r="377" spans="13:13" ht="15.75" thickBot="1" x14ac:dyDescent="0.3">
      <c r="M377" s="60">
        <f t="shared" si="20"/>
        <v>0</v>
      </c>
    </row>
    <row r="378" spans="13:13" ht="15.75" thickBot="1" x14ac:dyDescent="0.3">
      <c r="M378" s="60">
        <f t="shared" si="20"/>
        <v>0</v>
      </c>
    </row>
    <row r="379" spans="13:13" ht="15.75" thickBot="1" x14ac:dyDescent="0.3">
      <c r="M379" s="60">
        <f t="shared" si="20"/>
        <v>0</v>
      </c>
    </row>
    <row r="380" spans="13:13" ht="15.75" thickBot="1" x14ac:dyDescent="0.3">
      <c r="M380" s="60">
        <f t="shared" si="20"/>
        <v>0</v>
      </c>
    </row>
    <row r="381" spans="13:13" ht="15.75" thickBot="1" x14ac:dyDescent="0.3">
      <c r="M381" s="60">
        <f t="shared" si="20"/>
        <v>0</v>
      </c>
    </row>
    <row r="382" spans="13:13" ht="15.75" thickBot="1" x14ac:dyDescent="0.3">
      <c r="M382" s="60">
        <f t="shared" si="20"/>
        <v>0</v>
      </c>
    </row>
    <row r="383" spans="13:13" ht="15.75" thickBot="1" x14ac:dyDescent="0.3">
      <c r="M383" s="60">
        <f t="shared" si="20"/>
        <v>0</v>
      </c>
    </row>
    <row r="384" spans="13:13" ht="15.75" thickBot="1" x14ac:dyDescent="0.3">
      <c r="M384" s="60">
        <f t="shared" si="20"/>
        <v>0</v>
      </c>
    </row>
    <row r="385" spans="13:13" ht="15.75" thickBot="1" x14ac:dyDescent="0.3">
      <c r="M385" s="60">
        <f t="shared" si="20"/>
        <v>0</v>
      </c>
    </row>
    <row r="386" spans="13:13" ht="15.75" thickBot="1" x14ac:dyDescent="0.3">
      <c r="M386" s="60">
        <f t="shared" si="20"/>
        <v>0</v>
      </c>
    </row>
    <row r="387" spans="13:13" ht="15.75" thickBot="1" x14ac:dyDescent="0.3">
      <c r="M387" s="60">
        <f t="shared" si="20"/>
        <v>0</v>
      </c>
    </row>
    <row r="388" spans="13:13" ht="15.75" thickBot="1" x14ac:dyDescent="0.3">
      <c r="M388" s="60">
        <f t="shared" si="20"/>
        <v>0</v>
      </c>
    </row>
    <row r="389" spans="13:13" ht="15.75" thickBot="1" x14ac:dyDescent="0.3">
      <c r="M389" s="60">
        <f t="shared" si="20"/>
        <v>0</v>
      </c>
    </row>
    <row r="390" spans="13:13" ht="15.75" thickBot="1" x14ac:dyDescent="0.3">
      <c r="M390" s="60">
        <f t="shared" si="20"/>
        <v>0</v>
      </c>
    </row>
    <row r="391" spans="13:13" ht="15.75" thickBot="1" x14ac:dyDescent="0.3">
      <c r="M391" s="60">
        <f t="shared" si="20"/>
        <v>0</v>
      </c>
    </row>
    <row r="392" spans="13:13" ht="15.75" thickBot="1" x14ac:dyDescent="0.3">
      <c r="M392" s="60">
        <f t="shared" ref="M392:M455" si="21">J392*G392</f>
        <v>0</v>
      </c>
    </row>
    <row r="393" spans="13:13" ht="15.75" thickBot="1" x14ac:dyDescent="0.3">
      <c r="M393" s="60">
        <f t="shared" si="21"/>
        <v>0</v>
      </c>
    </row>
    <row r="394" spans="13:13" ht="15.75" thickBot="1" x14ac:dyDescent="0.3">
      <c r="M394" s="60">
        <f t="shared" si="21"/>
        <v>0</v>
      </c>
    </row>
    <row r="395" spans="13:13" ht="15.75" thickBot="1" x14ac:dyDescent="0.3">
      <c r="M395" s="60">
        <f t="shared" si="21"/>
        <v>0</v>
      </c>
    </row>
    <row r="396" spans="13:13" ht="15.75" thickBot="1" x14ac:dyDescent="0.3">
      <c r="M396" s="60">
        <f t="shared" si="21"/>
        <v>0</v>
      </c>
    </row>
    <row r="397" spans="13:13" ht="15.75" thickBot="1" x14ac:dyDescent="0.3">
      <c r="M397" s="60">
        <f t="shared" si="21"/>
        <v>0</v>
      </c>
    </row>
    <row r="398" spans="13:13" ht="15.75" thickBot="1" x14ac:dyDescent="0.3">
      <c r="M398" s="60">
        <f t="shared" si="21"/>
        <v>0</v>
      </c>
    </row>
    <row r="399" spans="13:13" ht="15.75" thickBot="1" x14ac:dyDescent="0.3">
      <c r="M399" s="60">
        <f t="shared" si="21"/>
        <v>0</v>
      </c>
    </row>
    <row r="400" spans="13:13" ht="15.75" thickBot="1" x14ac:dyDescent="0.3">
      <c r="M400" s="60">
        <f t="shared" si="21"/>
        <v>0</v>
      </c>
    </row>
    <row r="401" spans="13:13" ht="15.75" thickBot="1" x14ac:dyDescent="0.3">
      <c r="M401" s="60">
        <f t="shared" si="21"/>
        <v>0</v>
      </c>
    </row>
    <row r="402" spans="13:13" ht="15.75" thickBot="1" x14ac:dyDescent="0.3">
      <c r="M402" s="60">
        <f t="shared" si="21"/>
        <v>0</v>
      </c>
    </row>
    <row r="403" spans="13:13" ht="15.75" thickBot="1" x14ac:dyDescent="0.3">
      <c r="M403" s="60">
        <f t="shared" si="21"/>
        <v>0</v>
      </c>
    </row>
    <row r="404" spans="13:13" ht="15.75" thickBot="1" x14ac:dyDescent="0.3">
      <c r="M404" s="60">
        <f t="shared" si="21"/>
        <v>0</v>
      </c>
    </row>
    <row r="405" spans="13:13" ht="15.75" thickBot="1" x14ac:dyDescent="0.3">
      <c r="M405" s="60">
        <f t="shared" si="21"/>
        <v>0</v>
      </c>
    </row>
    <row r="406" spans="13:13" ht="15.75" thickBot="1" x14ac:dyDescent="0.3">
      <c r="M406" s="60">
        <f t="shared" si="21"/>
        <v>0</v>
      </c>
    </row>
    <row r="407" spans="13:13" ht="15.75" thickBot="1" x14ac:dyDescent="0.3">
      <c r="M407" s="60">
        <f t="shared" si="21"/>
        <v>0</v>
      </c>
    </row>
    <row r="408" spans="13:13" ht="15.75" thickBot="1" x14ac:dyDescent="0.3">
      <c r="M408" s="60">
        <f t="shared" si="21"/>
        <v>0</v>
      </c>
    </row>
    <row r="409" spans="13:13" ht="15.75" thickBot="1" x14ac:dyDescent="0.3">
      <c r="M409" s="60">
        <f t="shared" si="21"/>
        <v>0</v>
      </c>
    </row>
    <row r="410" spans="13:13" ht="15.75" thickBot="1" x14ac:dyDescent="0.3">
      <c r="M410" s="60">
        <f t="shared" si="21"/>
        <v>0</v>
      </c>
    </row>
    <row r="411" spans="13:13" ht="15.75" thickBot="1" x14ac:dyDescent="0.3">
      <c r="M411" s="60">
        <f t="shared" si="21"/>
        <v>0</v>
      </c>
    </row>
    <row r="412" spans="13:13" ht="15.75" thickBot="1" x14ac:dyDescent="0.3">
      <c r="M412" s="60">
        <f t="shared" si="21"/>
        <v>0</v>
      </c>
    </row>
    <row r="413" spans="13:13" ht="15.75" thickBot="1" x14ac:dyDescent="0.3">
      <c r="M413" s="60">
        <f t="shared" si="21"/>
        <v>0</v>
      </c>
    </row>
    <row r="414" spans="13:13" ht="15.75" thickBot="1" x14ac:dyDescent="0.3">
      <c r="M414" s="60">
        <f t="shared" si="21"/>
        <v>0</v>
      </c>
    </row>
    <row r="415" spans="13:13" ht="15.75" thickBot="1" x14ac:dyDescent="0.3">
      <c r="M415" s="60">
        <f t="shared" si="21"/>
        <v>0</v>
      </c>
    </row>
    <row r="416" spans="13:13" ht="15.75" thickBot="1" x14ac:dyDescent="0.3">
      <c r="M416" s="60">
        <f t="shared" si="21"/>
        <v>0</v>
      </c>
    </row>
    <row r="417" spans="13:13" ht="15.75" thickBot="1" x14ac:dyDescent="0.3">
      <c r="M417" s="60">
        <f t="shared" si="21"/>
        <v>0</v>
      </c>
    </row>
    <row r="418" spans="13:13" ht="15.75" thickBot="1" x14ac:dyDescent="0.3">
      <c r="M418" s="60">
        <f t="shared" si="21"/>
        <v>0</v>
      </c>
    </row>
    <row r="419" spans="13:13" ht="15.75" thickBot="1" x14ac:dyDescent="0.3">
      <c r="M419" s="60">
        <f t="shared" si="21"/>
        <v>0</v>
      </c>
    </row>
    <row r="420" spans="13:13" ht="15.75" thickBot="1" x14ac:dyDescent="0.3">
      <c r="M420" s="60">
        <f t="shared" si="21"/>
        <v>0</v>
      </c>
    </row>
    <row r="421" spans="13:13" ht="15.75" thickBot="1" x14ac:dyDescent="0.3">
      <c r="M421" s="60">
        <f t="shared" si="21"/>
        <v>0</v>
      </c>
    </row>
    <row r="422" spans="13:13" ht="15.75" thickBot="1" x14ac:dyDescent="0.3">
      <c r="M422" s="60">
        <f t="shared" si="21"/>
        <v>0</v>
      </c>
    </row>
    <row r="423" spans="13:13" ht="15.75" thickBot="1" x14ac:dyDescent="0.3">
      <c r="M423" s="60">
        <f t="shared" si="21"/>
        <v>0</v>
      </c>
    </row>
    <row r="424" spans="13:13" ht="15.75" thickBot="1" x14ac:dyDescent="0.3">
      <c r="M424" s="60">
        <f t="shared" si="21"/>
        <v>0</v>
      </c>
    </row>
    <row r="425" spans="13:13" ht="15.75" thickBot="1" x14ac:dyDescent="0.3">
      <c r="M425" s="60">
        <f t="shared" si="21"/>
        <v>0</v>
      </c>
    </row>
    <row r="426" spans="13:13" ht="15.75" thickBot="1" x14ac:dyDescent="0.3">
      <c r="M426" s="60">
        <f t="shared" si="21"/>
        <v>0</v>
      </c>
    </row>
    <row r="427" spans="13:13" ht="15.75" thickBot="1" x14ac:dyDescent="0.3">
      <c r="M427" s="60">
        <f t="shared" si="21"/>
        <v>0</v>
      </c>
    </row>
    <row r="428" spans="13:13" ht="15.75" thickBot="1" x14ac:dyDescent="0.3">
      <c r="M428" s="60">
        <f t="shared" si="21"/>
        <v>0</v>
      </c>
    </row>
    <row r="429" spans="13:13" ht="15.75" thickBot="1" x14ac:dyDescent="0.3">
      <c r="M429" s="60">
        <f t="shared" si="21"/>
        <v>0</v>
      </c>
    </row>
    <row r="430" spans="13:13" ht="15.75" thickBot="1" x14ac:dyDescent="0.3">
      <c r="M430" s="60">
        <f t="shared" si="21"/>
        <v>0</v>
      </c>
    </row>
    <row r="431" spans="13:13" ht="15.75" thickBot="1" x14ac:dyDescent="0.3">
      <c r="M431" s="60">
        <f t="shared" si="21"/>
        <v>0</v>
      </c>
    </row>
    <row r="432" spans="13:13" ht="15.75" thickBot="1" x14ac:dyDescent="0.3">
      <c r="M432" s="60">
        <f t="shared" si="21"/>
        <v>0</v>
      </c>
    </row>
    <row r="433" spans="13:13" ht="15.75" thickBot="1" x14ac:dyDescent="0.3">
      <c r="M433" s="60">
        <f t="shared" si="21"/>
        <v>0</v>
      </c>
    </row>
    <row r="434" spans="13:13" ht="15.75" thickBot="1" x14ac:dyDescent="0.3">
      <c r="M434" s="60">
        <f t="shared" si="21"/>
        <v>0</v>
      </c>
    </row>
    <row r="435" spans="13:13" ht="15.75" thickBot="1" x14ac:dyDescent="0.3">
      <c r="M435" s="60">
        <f t="shared" si="21"/>
        <v>0</v>
      </c>
    </row>
    <row r="436" spans="13:13" ht="15.75" thickBot="1" x14ac:dyDescent="0.3">
      <c r="M436" s="60">
        <f t="shared" si="21"/>
        <v>0</v>
      </c>
    </row>
    <row r="437" spans="13:13" ht="15.75" thickBot="1" x14ac:dyDescent="0.3">
      <c r="M437" s="60">
        <f t="shared" si="21"/>
        <v>0</v>
      </c>
    </row>
    <row r="438" spans="13:13" ht="15.75" thickBot="1" x14ac:dyDescent="0.3">
      <c r="M438" s="60">
        <f t="shared" si="21"/>
        <v>0</v>
      </c>
    </row>
    <row r="439" spans="13:13" ht="15.75" thickBot="1" x14ac:dyDescent="0.3">
      <c r="M439" s="60">
        <f t="shared" si="21"/>
        <v>0</v>
      </c>
    </row>
    <row r="440" spans="13:13" ht="15.75" thickBot="1" x14ac:dyDescent="0.3">
      <c r="M440" s="60">
        <f t="shared" si="21"/>
        <v>0</v>
      </c>
    </row>
    <row r="441" spans="13:13" ht="15.75" thickBot="1" x14ac:dyDescent="0.3">
      <c r="M441" s="60">
        <f t="shared" si="21"/>
        <v>0</v>
      </c>
    </row>
    <row r="442" spans="13:13" ht="15.75" thickBot="1" x14ac:dyDescent="0.3">
      <c r="M442" s="60">
        <f t="shared" si="21"/>
        <v>0</v>
      </c>
    </row>
    <row r="443" spans="13:13" ht="15.75" thickBot="1" x14ac:dyDescent="0.3">
      <c r="M443" s="60">
        <f t="shared" si="21"/>
        <v>0</v>
      </c>
    </row>
    <row r="444" spans="13:13" ht="15.75" thickBot="1" x14ac:dyDescent="0.3">
      <c r="M444" s="60">
        <f t="shared" si="21"/>
        <v>0</v>
      </c>
    </row>
    <row r="445" spans="13:13" ht="15.75" thickBot="1" x14ac:dyDescent="0.3">
      <c r="M445" s="60">
        <f t="shared" si="21"/>
        <v>0</v>
      </c>
    </row>
    <row r="446" spans="13:13" ht="15.75" thickBot="1" x14ac:dyDescent="0.3">
      <c r="M446" s="60">
        <f t="shared" si="21"/>
        <v>0</v>
      </c>
    </row>
    <row r="447" spans="13:13" ht="15.75" thickBot="1" x14ac:dyDescent="0.3">
      <c r="M447" s="60">
        <f t="shared" si="21"/>
        <v>0</v>
      </c>
    </row>
    <row r="448" spans="13:13" ht="15.75" thickBot="1" x14ac:dyDescent="0.3">
      <c r="M448" s="60">
        <f t="shared" si="21"/>
        <v>0</v>
      </c>
    </row>
    <row r="449" spans="13:13" ht="15.75" thickBot="1" x14ac:dyDescent="0.3">
      <c r="M449" s="60">
        <f t="shared" si="21"/>
        <v>0</v>
      </c>
    </row>
    <row r="450" spans="13:13" ht="15.75" thickBot="1" x14ac:dyDescent="0.3">
      <c r="M450" s="60">
        <f t="shared" si="21"/>
        <v>0</v>
      </c>
    </row>
    <row r="451" spans="13:13" ht="15.75" thickBot="1" x14ac:dyDescent="0.3">
      <c r="M451" s="60">
        <f t="shared" si="21"/>
        <v>0</v>
      </c>
    </row>
    <row r="452" spans="13:13" ht="15.75" thickBot="1" x14ac:dyDescent="0.3">
      <c r="M452" s="60">
        <f t="shared" si="21"/>
        <v>0</v>
      </c>
    </row>
    <row r="453" spans="13:13" ht="15.75" thickBot="1" x14ac:dyDescent="0.3">
      <c r="M453" s="60">
        <f t="shared" si="21"/>
        <v>0</v>
      </c>
    </row>
    <row r="454" spans="13:13" ht="15.75" thickBot="1" x14ac:dyDescent="0.3">
      <c r="M454" s="60">
        <f t="shared" si="21"/>
        <v>0</v>
      </c>
    </row>
    <row r="455" spans="13:13" ht="15.75" thickBot="1" x14ac:dyDescent="0.3">
      <c r="M455" s="60">
        <f t="shared" si="21"/>
        <v>0</v>
      </c>
    </row>
    <row r="456" spans="13:13" ht="15.75" thickBot="1" x14ac:dyDescent="0.3">
      <c r="M456" s="60">
        <f t="shared" ref="M456:M519" si="22">J456*G456</f>
        <v>0</v>
      </c>
    </row>
    <row r="457" spans="13:13" ht="15.75" thickBot="1" x14ac:dyDescent="0.3">
      <c r="M457" s="60">
        <f t="shared" si="22"/>
        <v>0</v>
      </c>
    </row>
    <row r="458" spans="13:13" ht="15.75" thickBot="1" x14ac:dyDescent="0.3">
      <c r="M458" s="60">
        <f t="shared" si="22"/>
        <v>0</v>
      </c>
    </row>
    <row r="459" spans="13:13" ht="15.75" thickBot="1" x14ac:dyDescent="0.3">
      <c r="M459" s="60">
        <f t="shared" si="22"/>
        <v>0</v>
      </c>
    </row>
    <row r="460" spans="13:13" ht="15.75" thickBot="1" x14ac:dyDescent="0.3">
      <c r="M460" s="60">
        <f t="shared" si="22"/>
        <v>0</v>
      </c>
    </row>
    <row r="461" spans="13:13" ht="15.75" thickBot="1" x14ac:dyDescent="0.3">
      <c r="M461" s="60">
        <f t="shared" si="22"/>
        <v>0</v>
      </c>
    </row>
    <row r="462" spans="13:13" ht="15.75" thickBot="1" x14ac:dyDescent="0.3">
      <c r="M462" s="60">
        <f t="shared" si="22"/>
        <v>0</v>
      </c>
    </row>
    <row r="463" spans="13:13" ht="15.75" thickBot="1" x14ac:dyDescent="0.3">
      <c r="M463" s="60">
        <f t="shared" si="22"/>
        <v>0</v>
      </c>
    </row>
    <row r="464" spans="13:13" ht="15.75" thickBot="1" x14ac:dyDescent="0.3">
      <c r="M464" s="60">
        <f t="shared" si="22"/>
        <v>0</v>
      </c>
    </row>
    <row r="465" spans="13:13" ht="15.75" thickBot="1" x14ac:dyDescent="0.3">
      <c r="M465" s="60">
        <f t="shared" si="22"/>
        <v>0</v>
      </c>
    </row>
    <row r="466" spans="13:13" ht="15.75" thickBot="1" x14ac:dyDescent="0.3">
      <c r="M466" s="60">
        <f t="shared" si="22"/>
        <v>0</v>
      </c>
    </row>
    <row r="467" spans="13:13" ht="15.75" thickBot="1" x14ac:dyDescent="0.3">
      <c r="M467" s="60">
        <f t="shared" si="22"/>
        <v>0</v>
      </c>
    </row>
    <row r="468" spans="13:13" ht="15.75" thickBot="1" x14ac:dyDescent="0.3">
      <c r="M468" s="60">
        <f t="shared" si="22"/>
        <v>0</v>
      </c>
    </row>
    <row r="469" spans="13:13" ht="15.75" thickBot="1" x14ac:dyDescent="0.3">
      <c r="M469" s="60">
        <f t="shared" si="22"/>
        <v>0</v>
      </c>
    </row>
    <row r="470" spans="13:13" ht="15.75" thickBot="1" x14ac:dyDescent="0.3">
      <c r="M470" s="60">
        <f t="shared" si="22"/>
        <v>0</v>
      </c>
    </row>
    <row r="471" spans="13:13" ht="15.75" thickBot="1" x14ac:dyDescent="0.3">
      <c r="M471" s="60">
        <f t="shared" si="22"/>
        <v>0</v>
      </c>
    </row>
    <row r="472" spans="13:13" ht="15.75" thickBot="1" x14ac:dyDescent="0.3">
      <c r="M472" s="60">
        <f t="shared" si="22"/>
        <v>0</v>
      </c>
    </row>
    <row r="473" spans="13:13" ht="15.75" thickBot="1" x14ac:dyDescent="0.3">
      <c r="M473" s="60">
        <f t="shared" si="22"/>
        <v>0</v>
      </c>
    </row>
    <row r="474" spans="13:13" ht="15.75" thickBot="1" x14ac:dyDescent="0.3">
      <c r="M474" s="60">
        <f t="shared" si="22"/>
        <v>0</v>
      </c>
    </row>
    <row r="475" spans="13:13" ht="15.75" thickBot="1" x14ac:dyDescent="0.3">
      <c r="M475" s="60">
        <f t="shared" si="22"/>
        <v>0</v>
      </c>
    </row>
    <row r="476" spans="13:13" ht="15.75" thickBot="1" x14ac:dyDescent="0.3">
      <c r="M476" s="60">
        <f t="shared" si="22"/>
        <v>0</v>
      </c>
    </row>
    <row r="477" spans="13:13" ht="15.75" thickBot="1" x14ac:dyDescent="0.3">
      <c r="M477" s="60">
        <f t="shared" si="22"/>
        <v>0</v>
      </c>
    </row>
    <row r="478" spans="13:13" ht="15.75" thickBot="1" x14ac:dyDescent="0.3">
      <c r="M478" s="60">
        <f t="shared" si="22"/>
        <v>0</v>
      </c>
    </row>
    <row r="479" spans="13:13" ht="15.75" thickBot="1" x14ac:dyDescent="0.3">
      <c r="M479" s="60">
        <f t="shared" si="22"/>
        <v>0</v>
      </c>
    </row>
    <row r="480" spans="13:13" ht="15.75" thickBot="1" x14ac:dyDescent="0.3">
      <c r="M480" s="60">
        <f t="shared" si="22"/>
        <v>0</v>
      </c>
    </row>
    <row r="481" spans="13:13" ht="15.75" thickBot="1" x14ac:dyDescent="0.3">
      <c r="M481" s="60">
        <f t="shared" si="22"/>
        <v>0</v>
      </c>
    </row>
    <row r="482" spans="13:13" ht="15.75" thickBot="1" x14ac:dyDescent="0.3">
      <c r="M482" s="60">
        <f t="shared" si="22"/>
        <v>0</v>
      </c>
    </row>
    <row r="483" spans="13:13" ht="15.75" thickBot="1" x14ac:dyDescent="0.3">
      <c r="M483" s="60">
        <f t="shared" si="22"/>
        <v>0</v>
      </c>
    </row>
    <row r="484" spans="13:13" ht="15.75" thickBot="1" x14ac:dyDescent="0.3">
      <c r="M484" s="60">
        <f t="shared" si="22"/>
        <v>0</v>
      </c>
    </row>
    <row r="485" spans="13:13" ht="15.75" thickBot="1" x14ac:dyDescent="0.3">
      <c r="M485" s="60">
        <f t="shared" si="22"/>
        <v>0</v>
      </c>
    </row>
    <row r="486" spans="13:13" ht="15.75" thickBot="1" x14ac:dyDescent="0.3">
      <c r="M486" s="60">
        <f t="shared" si="22"/>
        <v>0</v>
      </c>
    </row>
    <row r="487" spans="13:13" ht="15.75" thickBot="1" x14ac:dyDescent="0.3">
      <c r="M487" s="60">
        <f t="shared" si="22"/>
        <v>0</v>
      </c>
    </row>
    <row r="488" spans="13:13" ht="15.75" thickBot="1" x14ac:dyDescent="0.3">
      <c r="M488" s="60">
        <f t="shared" si="22"/>
        <v>0</v>
      </c>
    </row>
    <row r="489" spans="13:13" ht="15.75" thickBot="1" x14ac:dyDescent="0.3">
      <c r="M489" s="60">
        <f t="shared" si="22"/>
        <v>0</v>
      </c>
    </row>
    <row r="490" spans="13:13" ht="15.75" thickBot="1" x14ac:dyDescent="0.3">
      <c r="M490" s="60">
        <f t="shared" si="22"/>
        <v>0</v>
      </c>
    </row>
    <row r="491" spans="13:13" ht="15.75" thickBot="1" x14ac:dyDescent="0.3">
      <c r="M491" s="60">
        <f t="shared" si="22"/>
        <v>0</v>
      </c>
    </row>
    <row r="492" spans="13:13" ht="15.75" thickBot="1" x14ac:dyDescent="0.3">
      <c r="M492" s="60">
        <f t="shared" si="22"/>
        <v>0</v>
      </c>
    </row>
    <row r="493" spans="13:13" ht="15.75" thickBot="1" x14ac:dyDescent="0.3">
      <c r="M493" s="60">
        <f t="shared" si="22"/>
        <v>0</v>
      </c>
    </row>
    <row r="494" spans="13:13" ht="15.75" thickBot="1" x14ac:dyDescent="0.3">
      <c r="M494" s="60">
        <f t="shared" si="22"/>
        <v>0</v>
      </c>
    </row>
    <row r="495" spans="13:13" ht="15.75" thickBot="1" x14ac:dyDescent="0.3">
      <c r="M495" s="60">
        <f t="shared" si="22"/>
        <v>0</v>
      </c>
    </row>
    <row r="496" spans="13:13" ht="15.75" thickBot="1" x14ac:dyDescent="0.3">
      <c r="M496" s="60">
        <f t="shared" si="22"/>
        <v>0</v>
      </c>
    </row>
    <row r="497" spans="13:13" ht="15.75" thickBot="1" x14ac:dyDescent="0.3">
      <c r="M497" s="60">
        <f t="shared" si="22"/>
        <v>0</v>
      </c>
    </row>
    <row r="498" spans="13:13" ht="15.75" thickBot="1" x14ac:dyDescent="0.3">
      <c r="M498" s="60">
        <f t="shared" si="22"/>
        <v>0</v>
      </c>
    </row>
    <row r="499" spans="13:13" ht="15.75" thickBot="1" x14ac:dyDescent="0.3">
      <c r="M499" s="60">
        <f t="shared" si="22"/>
        <v>0</v>
      </c>
    </row>
    <row r="500" spans="13:13" ht="15.75" thickBot="1" x14ac:dyDescent="0.3">
      <c r="M500" s="60">
        <f t="shared" si="22"/>
        <v>0</v>
      </c>
    </row>
    <row r="501" spans="13:13" ht="15.75" thickBot="1" x14ac:dyDescent="0.3">
      <c r="M501" s="60">
        <f t="shared" si="22"/>
        <v>0</v>
      </c>
    </row>
    <row r="502" spans="13:13" ht="15.75" thickBot="1" x14ac:dyDescent="0.3">
      <c r="M502" s="60">
        <f t="shared" si="22"/>
        <v>0</v>
      </c>
    </row>
    <row r="503" spans="13:13" ht="15.75" thickBot="1" x14ac:dyDescent="0.3">
      <c r="M503" s="60">
        <f t="shared" si="22"/>
        <v>0</v>
      </c>
    </row>
    <row r="504" spans="13:13" ht="15.75" thickBot="1" x14ac:dyDescent="0.3">
      <c r="M504" s="60">
        <f t="shared" si="22"/>
        <v>0</v>
      </c>
    </row>
    <row r="505" spans="13:13" ht="15.75" thickBot="1" x14ac:dyDescent="0.3">
      <c r="M505" s="60">
        <f t="shared" si="22"/>
        <v>0</v>
      </c>
    </row>
    <row r="506" spans="13:13" ht="15.75" thickBot="1" x14ac:dyDescent="0.3">
      <c r="M506" s="60">
        <f t="shared" si="22"/>
        <v>0</v>
      </c>
    </row>
    <row r="507" spans="13:13" ht="15.75" thickBot="1" x14ac:dyDescent="0.3">
      <c r="M507" s="60">
        <f t="shared" si="22"/>
        <v>0</v>
      </c>
    </row>
    <row r="508" spans="13:13" ht="15.75" thickBot="1" x14ac:dyDescent="0.3">
      <c r="M508" s="60">
        <f t="shared" si="22"/>
        <v>0</v>
      </c>
    </row>
    <row r="509" spans="13:13" ht="15.75" thickBot="1" x14ac:dyDescent="0.3">
      <c r="M509" s="60">
        <f t="shared" si="22"/>
        <v>0</v>
      </c>
    </row>
    <row r="510" spans="13:13" ht="15.75" thickBot="1" x14ac:dyDescent="0.3">
      <c r="M510" s="60">
        <f t="shared" si="22"/>
        <v>0</v>
      </c>
    </row>
    <row r="511" spans="13:13" ht="15.75" thickBot="1" x14ac:dyDescent="0.3">
      <c r="M511" s="60">
        <f t="shared" si="22"/>
        <v>0</v>
      </c>
    </row>
    <row r="512" spans="13:13" ht="15.75" thickBot="1" x14ac:dyDescent="0.3">
      <c r="M512" s="60">
        <f t="shared" si="22"/>
        <v>0</v>
      </c>
    </row>
    <row r="513" spans="13:13" ht="15.75" thickBot="1" x14ac:dyDescent="0.3">
      <c r="M513" s="60">
        <f t="shared" si="22"/>
        <v>0</v>
      </c>
    </row>
    <row r="514" spans="13:13" ht="15.75" thickBot="1" x14ac:dyDescent="0.3">
      <c r="M514" s="60">
        <f t="shared" si="22"/>
        <v>0</v>
      </c>
    </row>
    <row r="515" spans="13:13" ht="15.75" thickBot="1" x14ac:dyDescent="0.3">
      <c r="M515" s="60">
        <f t="shared" si="22"/>
        <v>0</v>
      </c>
    </row>
    <row r="516" spans="13:13" ht="15.75" thickBot="1" x14ac:dyDescent="0.3">
      <c r="M516" s="60">
        <f t="shared" si="22"/>
        <v>0</v>
      </c>
    </row>
    <row r="517" spans="13:13" ht="15.75" thickBot="1" x14ac:dyDescent="0.3">
      <c r="M517" s="60">
        <f t="shared" si="22"/>
        <v>0</v>
      </c>
    </row>
    <row r="518" spans="13:13" ht="15.75" thickBot="1" x14ac:dyDescent="0.3">
      <c r="M518" s="60">
        <f t="shared" si="22"/>
        <v>0</v>
      </c>
    </row>
    <row r="519" spans="13:13" ht="15.75" thickBot="1" x14ac:dyDescent="0.3">
      <c r="M519" s="60">
        <f t="shared" si="22"/>
        <v>0</v>
      </c>
    </row>
    <row r="520" spans="13:13" ht="15.75" thickBot="1" x14ac:dyDescent="0.3">
      <c r="M520" s="60">
        <f t="shared" ref="M520:M583" si="23">J520*G520</f>
        <v>0</v>
      </c>
    </row>
    <row r="521" spans="13:13" ht="15.75" thickBot="1" x14ac:dyDescent="0.3">
      <c r="M521" s="60">
        <f t="shared" si="23"/>
        <v>0</v>
      </c>
    </row>
    <row r="522" spans="13:13" ht="15.75" thickBot="1" x14ac:dyDescent="0.3">
      <c r="M522" s="60">
        <f t="shared" si="23"/>
        <v>0</v>
      </c>
    </row>
    <row r="523" spans="13:13" ht="15.75" thickBot="1" x14ac:dyDescent="0.3">
      <c r="M523" s="60">
        <f t="shared" si="23"/>
        <v>0</v>
      </c>
    </row>
    <row r="524" spans="13:13" ht="15.75" thickBot="1" x14ac:dyDescent="0.3">
      <c r="M524" s="60">
        <f t="shared" si="23"/>
        <v>0</v>
      </c>
    </row>
    <row r="525" spans="13:13" ht="15.75" thickBot="1" x14ac:dyDescent="0.3">
      <c r="M525" s="60">
        <f t="shared" si="23"/>
        <v>0</v>
      </c>
    </row>
    <row r="526" spans="13:13" ht="15.75" thickBot="1" x14ac:dyDescent="0.3">
      <c r="M526" s="60">
        <f t="shared" si="23"/>
        <v>0</v>
      </c>
    </row>
    <row r="527" spans="13:13" ht="15.75" thickBot="1" x14ac:dyDescent="0.3">
      <c r="M527" s="60">
        <f t="shared" si="23"/>
        <v>0</v>
      </c>
    </row>
    <row r="528" spans="13:13" ht="15.75" thickBot="1" x14ac:dyDescent="0.3">
      <c r="M528" s="60">
        <f t="shared" si="23"/>
        <v>0</v>
      </c>
    </row>
    <row r="529" spans="13:13" ht="15.75" thickBot="1" x14ac:dyDescent="0.3">
      <c r="M529" s="60">
        <f t="shared" si="23"/>
        <v>0</v>
      </c>
    </row>
    <row r="530" spans="13:13" ht="15.75" thickBot="1" x14ac:dyDescent="0.3">
      <c r="M530" s="60">
        <f t="shared" si="23"/>
        <v>0</v>
      </c>
    </row>
    <row r="531" spans="13:13" ht="15.75" thickBot="1" x14ac:dyDescent="0.3">
      <c r="M531" s="60">
        <f t="shared" si="23"/>
        <v>0</v>
      </c>
    </row>
    <row r="532" spans="13:13" ht="15.75" thickBot="1" x14ac:dyDescent="0.3">
      <c r="M532" s="60">
        <f t="shared" si="23"/>
        <v>0</v>
      </c>
    </row>
    <row r="533" spans="13:13" ht="15.75" thickBot="1" x14ac:dyDescent="0.3">
      <c r="M533" s="60">
        <f t="shared" si="23"/>
        <v>0</v>
      </c>
    </row>
    <row r="534" spans="13:13" ht="15.75" thickBot="1" x14ac:dyDescent="0.3">
      <c r="M534" s="60">
        <f t="shared" si="23"/>
        <v>0</v>
      </c>
    </row>
    <row r="535" spans="13:13" ht="15.75" thickBot="1" x14ac:dyDescent="0.3">
      <c r="M535" s="60">
        <f t="shared" si="23"/>
        <v>0</v>
      </c>
    </row>
    <row r="536" spans="13:13" ht="15.75" thickBot="1" x14ac:dyDescent="0.3">
      <c r="M536" s="60">
        <f t="shared" si="23"/>
        <v>0</v>
      </c>
    </row>
    <row r="537" spans="13:13" ht="15.75" thickBot="1" x14ac:dyDescent="0.3">
      <c r="M537" s="60">
        <f t="shared" si="23"/>
        <v>0</v>
      </c>
    </row>
    <row r="538" spans="13:13" ht="15.75" thickBot="1" x14ac:dyDescent="0.3">
      <c r="M538" s="60">
        <f t="shared" si="23"/>
        <v>0</v>
      </c>
    </row>
    <row r="539" spans="13:13" ht="15.75" thickBot="1" x14ac:dyDescent="0.3">
      <c r="M539" s="60">
        <f t="shared" si="23"/>
        <v>0</v>
      </c>
    </row>
    <row r="540" spans="13:13" ht="15.75" thickBot="1" x14ac:dyDescent="0.3">
      <c r="M540" s="60">
        <f t="shared" si="23"/>
        <v>0</v>
      </c>
    </row>
    <row r="541" spans="13:13" ht="15.75" thickBot="1" x14ac:dyDescent="0.3">
      <c r="M541" s="60">
        <f t="shared" si="23"/>
        <v>0</v>
      </c>
    </row>
    <row r="542" spans="13:13" ht="15.75" thickBot="1" x14ac:dyDescent="0.3">
      <c r="M542" s="60">
        <f t="shared" si="23"/>
        <v>0</v>
      </c>
    </row>
    <row r="543" spans="13:13" ht="15.75" thickBot="1" x14ac:dyDescent="0.3">
      <c r="M543" s="60">
        <f t="shared" si="23"/>
        <v>0</v>
      </c>
    </row>
    <row r="544" spans="13:13" ht="15.75" thickBot="1" x14ac:dyDescent="0.3">
      <c r="M544" s="60">
        <f t="shared" si="23"/>
        <v>0</v>
      </c>
    </row>
    <row r="545" spans="13:13" ht="15.75" thickBot="1" x14ac:dyDescent="0.3">
      <c r="M545" s="60">
        <f t="shared" si="23"/>
        <v>0</v>
      </c>
    </row>
    <row r="546" spans="13:13" ht="15.75" thickBot="1" x14ac:dyDescent="0.3">
      <c r="M546" s="60">
        <f t="shared" si="23"/>
        <v>0</v>
      </c>
    </row>
    <row r="547" spans="13:13" ht="15.75" thickBot="1" x14ac:dyDescent="0.3">
      <c r="M547" s="60">
        <f t="shared" si="23"/>
        <v>0</v>
      </c>
    </row>
    <row r="548" spans="13:13" ht="15.75" thickBot="1" x14ac:dyDescent="0.3">
      <c r="M548" s="60">
        <f t="shared" si="23"/>
        <v>0</v>
      </c>
    </row>
    <row r="549" spans="13:13" ht="15.75" thickBot="1" x14ac:dyDescent="0.3">
      <c r="M549" s="60">
        <f t="shared" si="23"/>
        <v>0</v>
      </c>
    </row>
    <row r="550" spans="13:13" ht="15.75" thickBot="1" x14ac:dyDescent="0.3">
      <c r="M550" s="60">
        <f t="shared" si="23"/>
        <v>0</v>
      </c>
    </row>
    <row r="551" spans="13:13" ht="15.75" thickBot="1" x14ac:dyDescent="0.3">
      <c r="M551" s="60">
        <f t="shared" si="23"/>
        <v>0</v>
      </c>
    </row>
    <row r="552" spans="13:13" ht="15.75" thickBot="1" x14ac:dyDescent="0.3">
      <c r="M552" s="60">
        <f t="shared" si="23"/>
        <v>0</v>
      </c>
    </row>
    <row r="553" spans="13:13" ht="15.75" thickBot="1" x14ac:dyDescent="0.3">
      <c r="M553" s="60">
        <f t="shared" si="23"/>
        <v>0</v>
      </c>
    </row>
    <row r="554" spans="13:13" ht="15.75" thickBot="1" x14ac:dyDescent="0.3">
      <c r="M554" s="60">
        <f t="shared" si="23"/>
        <v>0</v>
      </c>
    </row>
    <row r="555" spans="13:13" ht="15.75" thickBot="1" x14ac:dyDescent="0.3">
      <c r="M555" s="60">
        <f t="shared" si="23"/>
        <v>0</v>
      </c>
    </row>
    <row r="556" spans="13:13" ht="15.75" thickBot="1" x14ac:dyDescent="0.3">
      <c r="M556" s="60">
        <f t="shared" si="23"/>
        <v>0</v>
      </c>
    </row>
    <row r="557" spans="13:13" ht="15.75" thickBot="1" x14ac:dyDescent="0.3">
      <c r="M557" s="60">
        <f t="shared" si="23"/>
        <v>0</v>
      </c>
    </row>
    <row r="558" spans="13:13" ht="15.75" thickBot="1" x14ac:dyDescent="0.3">
      <c r="M558" s="60">
        <f t="shared" si="23"/>
        <v>0</v>
      </c>
    </row>
    <row r="559" spans="13:13" ht="15.75" thickBot="1" x14ac:dyDescent="0.3">
      <c r="M559" s="60">
        <f t="shared" si="23"/>
        <v>0</v>
      </c>
    </row>
    <row r="560" spans="13:13" ht="15.75" thickBot="1" x14ac:dyDescent="0.3">
      <c r="M560" s="60">
        <f t="shared" si="23"/>
        <v>0</v>
      </c>
    </row>
    <row r="561" spans="13:13" ht="15.75" thickBot="1" x14ac:dyDescent="0.3">
      <c r="M561" s="60">
        <f t="shared" si="23"/>
        <v>0</v>
      </c>
    </row>
    <row r="562" spans="13:13" ht="15.75" thickBot="1" x14ac:dyDescent="0.3">
      <c r="M562" s="60">
        <f t="shared" si="23"/>
        <v>0</v>
      </c>
    </row>
    <row r="563" spans="13:13" ht="15.75" thickBot="1" x14ac:dyDescent="0.3">
      <c r="M563" s="60">
        <f t="shared" si="23"/>
        <v>0</v>
      </c>
    </row>
    <row r="564" spans="13:13" ht="15.75" thickBot="1" x14ac:dyDescent="0.3">
      <c r="M564" s="60">
        <f t="shared" si="23"/>
        <v>0</v>
      </c>
    </row>
    <row r="565" spans="13:13" ht="15.75" thickBot="1" x14ac:dyDescent="0.3">
      <c r="M565" s="60">
        <f t="shared" si="23"/>
        <v>0</v>
      </c>
    </row>
    <row r="566" spans="13:13" ht="15.75" thickBot="1" x14ac:dyDescent="0.3">
      <c r="M566" s="60">
        <f t="shared" si="23"/>
        <v>0</v>
      </c>
    </row>
    <row r="567" spans="13:13" ht="15.75" thickBot="1" x14ac:dyDescent="0.3">
      <c r="M567" s="60">
        <f t="shared" si="23"/>
        <v>0</v>
      </c>
    </row>
    <row r="568" spans="13:13" ht="15.75" thickBot="1" x14ac:dyDescent="0.3">
      <c r="M568" s="60">
        <f t="shared" si="23"/>
        <v>0</v>
      </c>
    </row>
    <row r="569" spans="13:13" ht="15.75" thickBot="1" x14ac:dyDescent="0.3">
      <c r="M569" s="60">
        <f t="shared" si="23"/>
        <v>0</v>
      </c>
    </row>
    <row r="570" spans="13:13" ht="15.75" thickBot="1" x14ac:dyDescent="0.3">
      <c r="M570" s="60">
        <f t="shared" si="23"/>
        <v>0</v>
      </c>
    </row>
    <row r="571" spans="13:13" ht="15.75" thickBot="1" x14ac:dyDescent="0.3">
      <c r="M571" s="60">
        <f t="shared" si="23"/>
        <v>0</v>
      </c>
    </row>
    <row r="572" spans="13:13" ht="15.75" thickBot="1" x14ac:dyDescent="0.3">
      <c r="M572" s="60">
        <f t="shared" si="23"/>
        <v>0</v>
      </c>
    </row>
    <row r="573" spans="13:13" ht="15.75" thickBot="1" x14ac:dyDescent="0.3">
      <c r="M573" s="60">
        <f t="shared" si="23"/>
        <v>0</v>
      </c>
    </row>
    <row r="574" spans="13:13" ht="15.75" thickBot="1" x14ac:dyDescent="0.3">
      <c r="M574" s="60">
        <f t="shared" si="23"/>
        <v>0</v>
      </c>
    </row>
    <row r="575" spans="13:13" ht="15.75" thickBot="1" x14ac:dyDescent="0.3">
      <c r="M575" s="60">
        <f t="shared" si="23"/>
        <v>0</v>
      </c>
    </row>
    <row r="576" spans="13:13" ht="15.75" thickBot="1" x14ac:dyDescent="0.3">
      <c r="M576" s="60">
        <f t="shared" si="23"/>
        <v>0</v>
      </c>
    </row>
    <row r="577" spans="13:13" ht="15.75" thickBot="1" x14ac:dyDescent="0.3">
      <c r="M577" s="60">
        <f t="shared" si="23"/>
        <v>0</v>
      </c>
    </row>
    <row r="578" spans="13:13" ht="15.75" thickBot="1" x14ac:dyDescent="0.3">
      <c r="M578" s="60">
        <f t="shared" si="23"/>
        <v>0</v>
      </c>
    </row>
    <row r="579" spans="13:13" ht="15.75" thickBot="1" x14ac:dyDescent="0.3">
      <c r="M579" s="60">
        <f t="shared" si="23"/>
        <v>0</v>
      </c>
    </row>
    <row r="580" spans="13:13" ht="15.75" thickBot="1" x14ac:dyDescent="0.3">
      <c r="M580" s="60">
        <f t="shared" si="23"/>
        <v>0</v>
      </c>
    </row>
    <row r="581" spans="13:13" ht="15.75" thickBot="1" x14ac:dyDescent="0.3">
      <c r="M581" s="60">
        <f t="shared" si="23"/>
        <v>0</v>
      </c>
    </row>
    <row r="582" spans="13:13" ht="15.75" thickBot="1" x14ac:dyDescent="0.3">
      <c r="M582" s="60">
        <f t="shared" si="23"/>
        <v>0</v>
      </c>
    </row>
    <row r="583" spans="13:13" ht="15.75" thickBot="1" x14ac:dyDescent="0.3">
      <c r="M583" s="60">
        <f t="shared" si="23"/>
        <v>0</v>
      </c>
    </row>
    <row r="584" spans="13:13" ht="15.75" thickBot="1" x14ac:dyDescent="0.3">
      <c r="M584" s="60">
        <f t="shared" ref="M584:M647" si="24">J584*G584</f>
        <v>0</v>
      </c>
    </row>
    <row r="585" spans="13:13" ht="15.75" thickBot="1" x14ac:dyDescent="0.3">
      <c r="M585" s="60">
        <f t="shared" si="24"/>
        <v>0</v>
      </c>
    </row>
    <row r="586" spans="13:13" ht="15.75" thickBot="1" x14ac:dyDescent="0.3">
      <c r="M586" s="60">
        <f t="shared" si="24"/>
        <v>0</v>
      </c>
    </row>
    <row r="587" spans="13:13" ht="15.75" thickBot="1" x14ac:dyDescent="0.3">
      <c r="M587" s="60">
        <f t="shared" si="24"/>
        <v>0</v>
      </c>
    </row>
    <row r="588" spans="13:13" ht="15.75" thickBot="1" x14ac:dyDescent="0.3">
      <c r="M588" s="60">
        <f t="shared" si="24"/>
        <v>0</v>
      </c>
    </row>
    <row r="589" spans="13:13" ht="15.75" thickBot="1" x14ac:dyDescent="0.3">
      <c r="M589" s="60">
        <f t="shared" si="24"/>
        <v>0</v>
      </c>
    </row>
    <row r="590" spans="13:13" ht="15.75" thickBot="1" x14ac:dyDescent="0.3">
      <c r="M590" s="60">
        <f t="shared" si="24"/>
        <v>0</v>
      </c>
    </row>
    <row r="591" spans="13:13" ht="15.75" thickBot="1" x14ac:dyDescent="0.3">
      <c r="M591" s="60">
        <f t="shared" si="24"/>
        <v>0</v>
      </c>
    </row>
    <row r="592" spans="13:13" ht="15.75" thickBot="1" x14ac:dyDescent="0.3">
      <c r="M592" s="60">
        <f t="shared" si="24"/>
        <v>0</v>
      </c>
    </row>
    <row r="593" spans="13:13" ht="15.75" thickBot="1" x14ac:dyDescent="0.3">
      <c r="M593" s="60">
        <f t="shared" si="24"/>
        <v>0</v>
      </c>
    </row>
    <row r="594" spans="13:13" ht="15.75" thickBot="1" x14ac:dyDescent="0.3">
      <c r="M594" s="60">
        <f t="shared" si="24"/>
        <v>0</v>
      </c>
    </row>
    <row r="595" spans="13:13" ht="15.75" thickBot="1" x14ac:dyDescent="0.3">
      <c r="M595" s="60">
        <f t="shared" si="24"/>
        <v>0</v>
      </c>
    </row>
    <row r="596" spans="13:13" ht="15.75" thickBot="1" x14ac:dyDescent="0.3">
      <c r="M596" s="60">
        <f t="shared" si="24"/>
        <v>0</v>
      </c>
    </row>
    <row r="597" spans="13:13" ht="15.75" thickBot="1" x14ac:dyDescent="0.3">
      <c r="M597" s="60">
        <f t="shared" si="24"/>
        <v>0</v>
      </c>
    </row>
    <row r="598" spans="13:13" ht="15.75" thickBot="1" x14ac:dyDescent="0.3">
      <c r="M598" s="60">
        <f t="shared" si="24"/>
        <v>0</v>
      </c>
    </row>
    <row r="599" spans="13:13" ht="15.75" thickBot="1" x14ac:dyDescent="0.3">
      <c r="M599" s="60">
        <f t="shared" si="24"/>
        <v>0</v>
      </c>
    </row>
    <row r="600" spans="13:13" ht="15.75" thickBot="1" x14ac:dyDescent="0.3">
      <c r="M600" s="60">
        <f t="shared" si="24"/>
        <v>0</v>
      </c>
    </row>
    <row r="601" spans="13:13" ht="15.75" thickBot="1" x14ac:dyDescent="0.3">
      <c r="M601" s="60">
        <f t="shared" si="24"/>
        <v>0</v>
      </c>
    </row>
    <row r="602" spans="13:13" ht="15.75" thickBot="1" x14ac:dyDescent="0.3">
      <c r="M602" s="60">
        <f t="shared" si="24"/>
        <v>0</v>
      </c>
    </row>
    <row r="603" spans="13:13" ht="15.75" thickBot="1" x14ac:dyDescent="0.3">
      <c r="M603" s="60">
        <f t="shared" si="24"/>
        <v>0</v>
      </c>
    </row>
    <row r="604" spans="13:13" ht="15.75" thickBot="1" x14ac:dyDescent="0.3">
      <c r="M604" s="60">
        <f t="shared" si="24"/>
        <v>0</v>
      </c>
    </row>
    <row r="605" spans="13:13" ht="15.75" thickBot="1" x14ac:dyDescent="0.3">
      <c r="M605" s="60">
        <f t="shared" si="24"/>
        <v>0</v>
      </c>
    </row>
    <row r="606" spans="13:13" ht="15.75" thickBot="1" x14ac:dyDescent="0.3">
      <c r="M606" s="60">
        <f t="shared" si="24"/>
        <v>0</v>
      </c>
    </row>
    <row r="607" spans="13:13" ht="15.75" thickBot="1" x14ac:dyDescent="0.3">
      <c r="M607" s="60">
        <f t="shared" si="24"/>
        <v>0</v>
      </c>
    </row>
    <row r="608" spans="13:13" ht="15.75" thickBot="1" x14ac:dyDescent="0.3">
      <c r="M608" s="60">
        <f t="shared" si="24"/>
        <v>0</v>
      </c>
    </row>
    <row r="609" spans="13:13" ht="15.75" thickBot="1" x14ac:dyDescent="0.3">
      <c r="M609" s="60">
        <f t="shared" si="24"/>
        <v>0</v>
      </c>
    </row>
    <row r="610" spans="13:13" ht="15.75" thickBot="1" x14ac:dyDescent="0.3">
      <c r="M610" s="60">
        <f t="shared" si="24"/>
        <v>0</v>
      </c>
    </row>
    <row r="611" spans="13:13" ht="15.75" thickBot="1" x14ac:dyDescent="0.3">
      <c r="M611" s="60">
        <f t="shared" si="24"/>
        <v>0</v>
      </c>
    </row>
    <row r="612" spans="13:13" ht="15.75" thickBot="1" x14ac:dyDescent="0.3">
      <c r="M612" s="60">
        <f t="shared" si="24"/>
        <v>0</v>
      </c>
    </row>
    <row r="613" spans="13:13" ht="15.75" thickBot="1" x14ac:dyDescent="0.3">
      <c r="M613" s="60">
        <f t="shared" si="24"/>
        <v>0</v>
      </c>
    </row>
    <row r="614" spans="13:13" ht="15.75" thickBot="1" x14ac:dyDescent="0.3">
      <c r="M614" s="60">
        <f t="shared" si="24"/>
        <v>0</v>
      </c>
    </row>
    <row r="615" spans="13:13" ht="15.75" thickBot="1" x14ac:dyDescent="0.3">
      <c r="M615" s="60">
        <f t="shared" si="24"/>
        <v>0</v>
      </c>
    </row>
    <row r="616" spans="13:13" ht="15.75" thickBot="1" x14ac:dyDescent="0.3">
      <c r="M616" s="60">
        <f t="shared" si="24"/>
        <v>0</v>
      </c>
    </row>
    <row r="617" spans="13:13" ht="15.75" thickBot="1" x14ac:dyDescent="0.3">
      <c r="M617" s="60">
        <f t="shared" si="24"/>
        <v>0</v>
      </c>
    </row>
    <row r="618" spans="13:13" ht="15.75" thickBot="1" x14ac:dyDescent="0.3">
      <c r="M618" s="60">
        <f t="shared" si="24"/>
        <v>0</v>
      </c>
    </row>
    <row r="619" spans="13:13" ht="15.75" thickBot="1" x14ac:dyDescent="0.3">
      <c r="M619" s="60">
        <f t="shared" si="24"/>
        <v>0</v>
      </c>
    </row>
    <row r="620" spans="13:13" ht="15.75" thickBot="1" x14ac:dyDescent="0.3">
      <c r="M620" s="60">
        <f t="shared" si="24"/>
        <v>0</v>
      </c>
    </row>
    <row r="621" spans="13:13" ht="15.75" thickBot="1" x14ac:dyDescent="0.3">
      <c r="M621" s="60">
        <f t="shared" si="24"/>
        <v>0</v>
      </c>
    </row>
    <row r="622" spans="13:13" ht="15.75" thickBot="1" x14ac:dyDescent="0.3">
      <c r="M622" s="60">
        <f t="shared" si="24"/>
        <v>0</v>
      </c>
    </row>
    <row r="623" spans="13:13" ht="15.75" thickBot="1" x14ac:dyDescent="0.3">
      <c r="M623" s="60">
        <f t="shared" si="24"/>
        <v>0</v>
      </c>
    </row>
    <row r="624" spans="13:13" ht="15.75" thickBot="1" x14ac:dyDescent="0.3">
      <c r="M624" s="60">
        <f t="shared" si="24"/>
        <v>0</v>
      </c>
    </row>
    <row r="625" spans="13:13" ht="15.75" thickBot="1" x14ac:dyDescent="0.3">
      <c r="M625" s="60">
        <f t="shared" si="24"/>
        <v>0</v>
      </c>
    </row>
    <row r="626" spans="13:13" ht="15.75" thickBot="1" x14ac:dyDescent="0.3">
      <c r="M626" s="60">
        <f t="shared" si="24"/>
        <v>0</v>
      </c>
    </row>
    <row r="627" spans="13:13" ht="15.75" thickBot="1" x14ac:dyDescent="0.3">
      <c r="M627" s="60">
        <f t="shared" si="24"/>
        <v>0</v>
      </c>
    </row>
    <row r="628" spans="13:13" ht="15.75" thickBot="1" x14ac:dyDescent="0.3">
      <c r="M628" s="60">
        <f t="shared" si="24"/>
        <v>0</v>
      </c>
    </row>
    <row r="629" spans="13:13" ht="15.75" thickBot="1" x14ac:dyDescent="0.3">
      <c r="M629" s="60">
        <f t="shared" si="24"/>
        <v>0</v>
      </c>
    </row>
    <row r="630" spans="13:13" ht="15.75" thickBot="1" x14ac:dyDescent="0.3">
      <c r="M630" s="60">
        <f t="shared" si="24"/>
        <v>0</v>
      </c>
    </row>
    <row r="631" spans="13:13" ht="15.75" thickBot="1" x14ac:dyDescent="0.3">
      <c r="M631" s="60">
        <f t="shared" si="24"/>
        <v>0</v>
      </c>
    </row>
    <row r="632" spans="13:13" ht="15.75" thickBot="1" x14ac:dyDescent="0.3">
      <c r="M632" s="60">
        <f t="shared" si="24"/>
        <v>0</v>
      </c>
    </row>
    <row r="633" spans="13:13" ht="15.75" thickBot="1" x14ac:dyDescent="0.3">
      <c r="M633" s="60">
        <f t="shared" si="24"/>
        <v>0</v>
      </c>
    </row>
    <row r="634" spans="13:13" ht="15.75" thickBot="1" x14ac:dyDescent="0.3">
      <c r="M634" s="60">
        <f t="shared" si="24"/>
        <v>0</v>
      </c>
    </row>
    <row r="635" spans="13:13" ht="15.75" thickBot="1" x14ac:dyDescent="0.3">
      <c r="M635" s="60">
        <f t="shared" si="24"/>
        <v>0</v>
      </c>
    </row>
    <row r="636" spans="13:13" ht="15.75" thickBot="1" x14ac:dyDescent="0.3">
      <c r="M636" s="60">
        <f t="shared" si="24"/>
        <v>0</v>
      </c>
    </row>
    <row r="637" spans="13:13" ht="15.75" thickBot="1" x14ac:dyDescent="0.3">
      <c r="M637" s="60">
        <f t="shared" si="24"/>
        <v>0</v>
      </c>
    </row>
    <row r="638" spans="13:13" ht="15.75" thickBot="1" x14ac:dyDescent="0.3">
      <c r="M638" s="60">
        <f t="shared" si="24"/>
        <v>0</v>
      </c>
    </row>
    <row r="639" spans="13:13" ht="15.75" thickBot="1" x14ac:dyDescent="0.3">
      <c r="M639" s="60">
        <f t="shared" si="24"/>
        <v>0</v>
      </c>
    </row>
    <row r="640" spans="13:13" ht="15.75" thickBot="1" x14ac:dyDescent="0.3">
      <c r="M640" s="60">
        <f t="shared" si="24"/>
        <v>0</v>
      </c>
    </row>
    <row r="641" spans="13:13" ht="15.75" thickBot="1" x14ac:dyDescent="0.3">
      <c r="M641" s="60">
        <f t="shared" si="24"/>
        <v>0</v>
      </c>
    </row>
    <row r="642" spans="13:13" ht="15.75" thickBot="1" x14ac:dyDescent="0.3">
      <c r="M642" s="60">
        <f t="shared" si="24"/>
        <v>0</v>
      </c>
    </row>
    <row r="643" spans="13:13" ht="15.75" thickBot="1" x14ac:dyDescent="0.3">
      <c r="M643" s="60">
        <f t="shared" si="24"/>
        <v>0</v>
      </c>
    </row>
    <row r="644" spans="13:13" ht="15.75" thickBot="1" x14ac:dyDescent="0.3">
      <c r="M644" s="60">
        <f t="shared" si="24"/>
        <v>0</v>
      </c>
    </row>
    <row r="645" spans="13:13" ht="15.75" thickBot="1" x14ac:dyDescent="0.3">
      <c r="M645" s="60">
        <f t="shared" si="24"/>
        <v>0</v>
      </c>
    </row>
    <row r="646" spans="13:13" ht="15.75" thickBot="1" x14ac:dyDescent="0.3">
      <c r="M646" s="60">
        <f t="shared" si="24"/>
        <v>0</v>
      </c>
    </row>
    <row r="647" spans="13:13" ht="15.75" thickBot="1" x14ac:dyDescent="0.3">
      <c r="M647" s="60">
        <f t="shared" si="24"/>
        <v>0</v>
      </c>
    </row>
    <row r="648" spans="13:13" ht="15.75" thickBot="1" x14ac:dyDescent="0.3">
      <c r="M648" s="60">
        <f t="shared" ref="M648:M711" si="25">J648*G648</f>
        <v>0</v>
      </c>
    </row>
    <row r="649" spans="13:13" ht="15.75" thickBot="1" x14ac:dyDescent="0.3">
      <c r="M649" s="60">
        <f t="shared" si="25"/>
        <v>0</v>
      </c>
    </row>
    <row r="650" spans="13:13" ht="15.75" thickBot="1" x14ac:dyDescent="0.3">
      <c r="M650" s="60">
        <f t="shared" si="25"/>
        <v>0</v>
      </c>
    </row>
    <row r="651" spans="13:13" ht="15.75" thickBot="1" x14ac:dyDescent="0.3">
      <c r="M651" s="60">
        <f t="shared" si="25"/>
        <v>0</v>
      </c>
    </row>
    <row r="652" spans="13:13" ht="15.75" thickBot="1" x14ac:dyDescent="0.3">
      <c r="M652" s="60">
        <f t="shared" si="25"/>
        <v>0</v>
      </c>
    </row>
    <row r="653" spans="13:13" ht="15.75" thickBot="1" x14ac:dyDescent="0.3">
      <c r="M653" s="60">
        <f t="shared" si="25"/>
        <v>0</v>
      </c>
    </row>
    <row r="654" spans="13:13" ht="15.75" thickBot="1" x14ac:dyDescent="0.3">
      <c r="M654" s="60">
        <f t="shared" si="25"/>
        <v>0</v>
      </c>
    </row>
    <row r="655" spans="13:13" ht="15.75" thickBot="1" x14ac:dyDescent="0.3">
      <c r="M655" s="60">
        <f t="shared" si="25"/>
        <v>0</v>
      </c>
    </row>
    <row r="656" spans="13:13" ht="15.75" thickBot="1" x14ac:dyDescent="0.3">
      <c r="M656" s="60">
        <f t="shared" si="25"/>
        <v>0</v>
      </c>
    </row>
    <row r="657" spans="13:13" ht="15.75" thickBot="1" x14ac:dyDescent="0.3">
      <c r="M657" s="60">
        <f t="shared" si="25"/>
        <v>0</v>
      </c>
    </row>
    <row r="658" spans="13:13" ht="15.75" thickBot="1" x14ac:dyDescent="0.3">
      <c r="M658" s="60">
        <f t="shared" si="25"/>
        <v>0</v>
      </c>
    </row>
    <row r="659" spans="13:13" ht="15.75" thickBot="1" x14ac:dyDescent="0.3">
      <c r="M659" s="60">
        <f t="shared" si="25"/>
        <v>0</v>
      </c>
    </row>
    <row r="660" spans="13:13" ht="15.75" thickBot="1" x14ac:dyDescent="0.3">
      <c r="M660" s="60">
        <f t="shared" si="25"/>
        <v>0</v>
      </c>
    </row>
    <row r="661" spans="13:13" ht="15.75" thickBot="1" x14ac:dyDescent="0.3">
      <c r="M661" s="60">
        <f t="shared" si="25"/>
        <v>0</v>
      </c>
    </row>
    <row r="662" spans="13:13" ht="15.75" thickBot="1" x14ac:dyDescent="0.3">
      <c r="M662" s="60">
        <f t="shared" si="25"/>
        <v>0</v>
      </c>
    </row>
    <row r="663" spans="13:13" ht="15.75" thickBot="1" x14ac:dyDescent="0.3">
      <c r="M663" s="60">
        <f t="shared" si="25"/>
        <v>0</v>
      </c>
    </row>
    <row r="664" spans="13:13" ht="15.75" thickBot="1" x14ac:dyDescent="0.3">
      <c r="M664" s="60">
        <f t="shared" si="25"/>
        <v>0</v>
      </c>
    </row>
    <row r="665" spans="13:13" ht="15.75" thickBot="1" x14ac:dyDescent="0.3">
      <c r="M665" s="60">
        <f t="shared" si="25"/>
        <v>0</v>
      </c>
    </row>
    <row r="666" spans="13:13" ht="15.75" thickBot="1" x14ac:dyDescent="0.3">
      <c r="M666" s="60">
        <f t="shared" si="25"/>
        <v>0</v>
      </c>
    </row>
    <row r="667" spans="13:13" ht="15.75" thickBot="1" x14ac:dyDescent="0.3">
      <c r="M667" s="60">
        <f t="shared" si="25"/>
        <v>0</v>
      </c>
    </row>
    <row r="668" spans="13:13" ht="15.75" thickBot="1" x14ac:dyDescent="0.3">
      <c r="M668" s="60">
        <f t="shared" si="25"/>
        <v>0</v>
      </c>
    </row>
    <row r="669" spans="13:13" ht="15.75" thickBot="1" x14ac:dyDescent="0.3">
      <c r="M669" s="60">
        <f t="shared" si="25"/>
        <v>0</v>
      </c>
    </row>
    <row r="670" spans="13:13" ht="15.75" thickBot="1" x14ac:dyDescent="0.3">
      <c r="M670" s="60">
        <f t="shared" si="25"/>
        <v>0</v>
      </c>
    </row>
    <row r="671" spans="13:13" ht="15.75" thickBot="1" x14ac:dyDescent="0.3">
      <c r="M671" s="60">
        <f t="shared" si="25"/>
        <v>0</v>
      </c>
    </row>
    <row r="672" spans="13:13" ht="15.75" thickBot="1" x14ac:dyDescent="0.3">
      <c r="M672" s="60">
        <f t="shared" si="25"/>
        <v>0</v>
      </c>
    </row>
    <row r="673" spans="13:13" ht="15.75" thickBot="1" x14ac:dyDescent="0.3">
      <c r="M673" s="60">
        <f t="shared" si="25"/>
        <v>0</v>
      </c>
    </row>
    <row r="674" spans="13:13" ht="15.75" thickBot="1" x14ac:dyDescent="0.3">
      <c r="M674" s="60">
        <f t="shared" si="25"/>
        <v>0</v>
      </c>
    </row>
    <row r="675" spans="13:13" ht="15.75" thickBot="1" x14ac:dyDescent="0.3">
      <c r="M675" s="60">
        <f t="shared" si="25"/>
        <v>0</v>
      </c>
    </row>
    <row r="676" spans="13:13" ht="15.75" thickBot="1" x14ac:dyDescent="0.3">
      <c r="M676" s="60">
        <f t="shared" si="25"/>
        <v>0</v>
      </c>
    </row>
    <row r="677" spans="13:13" ht="15.75" thickBot="1" x14ac:dyDescent="0.3">
      <c r="M677" s="60">
        <f t="shared" si="25"/>
        <v>0</v>
      </c>
    </row>
    <row r="678" spans="13:13" ht="15.75" thickBot="1" x14ac:dyDescent="0.3">
      <c r="M678" s="60">
        <f t="shared" si="25"/>
        <v>0</v>
      </c>
    </row>
    <row r="679" spans="13:13" ht="15.75" thickBot="1" x14ac:dyDescent="0.3">
      <c r="M679" s="60">
        <f t="shared" si="25"/>
        <v>0</v>
      </c>
    </row>
    <row r="680" spans="13:13" ht="15.75" thickBot="1" x14ac:dyDescent="0.3">
      <c r="M680" s="60">
        <f t="shared" si="25"/>
        <v>0</v>
      </c>
    </row>
    <row r="681" spans="13:13" ht="15.75" thickBot="1" x14ac:dyDescent="0.3">
      <c r="M681" s="60">
        <f t="shared" si="25"/>
        <v>0</v>
      </c>
    </row>
    <row r="682" spans="13:13" ht="15.75" thickBot="1" x14ac:dyDescent="0.3">
      <c r="M682" s="60">
        <f t="shared" si="25"/>
        <v>0</v>
      </c>
    </row>
    <row r="683" spans="13:13" ht="15.75" thickBot="1" x14ac:dyDescent="0.3">
      <c r="M683" s="60">
        <f t="shared" si="25"/>
        <v>0</v>
      </c>
    </row>
    <row r="684" spans="13:13" ht="15.75" thickBot="1" x14ac:dyDescent="0.3">
      <c r="M684" s="60">
        <f t="shared" si="25"/>
        <v>0</v>
      </c>
    </row>
    <row r="685" spans="13:13" ht="15.75" thickBot="1" x14ac:dyDescent="0.3">
      <c r="M685" s="60">
        <f t="shared" si="25"/>
        <v>0</v>
      </c>
    </row>
    <row r="686" spans="13:13" ht="15.75" thickBot="1" x14ac:dyDescent="0.3">
      <c r="M686" s="60">
        <f t="shared" si="25"/>
        <v>0</v>
      </c>
    </row>
    <row r="687" spans="13:13" ht="15.75" thickBot="1" x14ac:dyDescent="0.3">
      <c r="M687" s="60">
        <f t="shared" si="25"/>
        <v>0</v>
      </c>
    </row>
    <row r="688" spans="13:13" ht="15.75" thickBot="1" x14ac:dyDescent="0.3">
      <c r="M688" s="60">
        <f t="shared" si="25"/>
        <v>0</v>
      </c>
    </row>
    <row r="689" spans="13:13" ht="15.75" thickBot="1" x14ac:dyDescent="0.3">
      <c r="M689" s="60">
        <f t="shared" si="25"/>
        <v>0</v>
      </c>
    </row>
    <row r="690" spans="13:13" ht="15.75" thickBot="1" x14ac:dyDescent="0.3">
      <c r="M690" s="60">
        <f t="shared" si="25"/>
        <v>0</v>
      </c>
    </row>
    <row r="691" spans="13:13" ht="15.75" thickBot="1" x14ac:dyDescent="0.3">
      <c r="M691" s="60">
        <f t="shared" si="25"/>
        <v>0</v>
      </c>
    </row>
    <row r="692" spans="13:13" ht="15.75" thickBot="1" x14ac:dyDescent="0.3">
      <c r="M692" s="60">
        <f t="shared" si="25"/>
        <v>0</v>
      </c>
    </row>
    <row r="693" spans="13:13" ht="15.75" thickBot="1" x14ac:dyDescent="0.3">
      <c r="M693" s="60">
        <f t="shared" si="25"/>
        <v>0</v>
      </c>
    </row>
    <row r="694" spans="13:13" ht="15.75" thickBot="1" x14ac:dyDescent="0.3">
      <c r="M694" s="60">
        <f t="shared" si="25"/>
        <v>0</v>
      </c>
    </row>
    <row r="695" spans="13:13" ht="15.75" thickBot="1" x14ac:dyDescent="0.3">
      <c r="M695" s="60">
        <f t="shared" si="25"/>
        <v>0</v>
      </c>
    </row>
    <row r="696" spans="13:13" ht="15.75" thickBot="1" x14ac:dyDescent="0.3">
      <c r="M696" s="60">
        <f t="shared" si="25"/>
        <v>0</v>
      </c>
    </row>
    <row r="697" spans="13:13" ht="15.75" thickBot="1" x14ac:dyDescent="0.3">
      <c r="M697" s="60">
        <f t="shared" si="25"/>
        <v>0</v>
      </c>
    </row>
    <row r="698" spans="13:13" ht="15.75" thickBot="1" x14ac:dyDescent="0.3">
      <c r="M698" s="60">
        <f t="shared" si="25"/>
        <v>0</v>
      </c>
    </row>
    <row r="699" spans="13:13" ht="15.75" thickBot="1" x14ac:dyDescent="0.3">
      <c r="M699" s="60">
        <f t="shared" si="25"/>
        <v>0</v>
      </c>
    </row>
    <row r="700" spans="13:13" ht="15.75" thickBot="1" x14ac:dyDescent="0.3">
      <c r="M700" s="60">
        <f t="shared" si="25"/>
        <v>0</v>
      </c>
    </row>
    <row r="701" spans="13:13" ht="15.75" thickBot="1" x14ac:dyDescent="0.3">
      <c r="M701" s="60">
        <f t="shared" si="25"/>
        <v>0</v>
      </c>
    </row>
    <row r="702" spans="13:13" ht="15.75" thickBot="1" x14ac:dyDescent="0.3">
      <c r="M702" s="60">
        <f t="shared" si="25"/>
        <v>0</v>
      </c>
    </row>
    <row r="703" spans="13:13" ht="15.75" thickBot="1" x14ac:dyDescent="0.3">
      <c r="M703" s="60">
        <f t="shared" si="25"/>
        <v>0</v>
      </c>
    </row>
    <row r="704" spans="13:13" ht="15.75" thickBot="1" x14ac:dyDescent="0.3">
      <c r="M704" s="60">
        <f t="shared" si="25"/>
        <v>0</v>
      </c>
    </row>
    <row r="705" spans="13:13" ht="15.75" thickBot="1" x14ac:dyDescent="0.3">
      <c r="M705" s="60">
        <f t="shared" si="25"/>
        <v>0</v>
      </c>
    </row>
    <row r="706" spans="13:13" ht="15.75" thickBot="1" x14ac:dyDescent="0.3">
      <c r="M706" s="60">
        <f t="shared" si="25"/>
        <v>0</v>
      </c>
    </row>
    <row r="707" spans="13:13" ht="15.75" thickBot="1" x14ac:dyDescent="0.3">
      <c r="M707" s="60">
        <f t="shared" si="25"/>
        <v>0</v>
      </c>
    </row>
    <row r="708" spans="13:13" ht="15.75" thickBot="1" x14ac:dyDescent="0.3">
      <c r="M708" s="60">
        <f t="shared" si="25"/>
        <v>0</v>
      </c>
    </row>
    <row r="709" spans="13:13" ht="15.75" thickBot="1" x14ac:dyDescent="0.3">
      <c r="M709" s="60">
        <f t="shared" si="25"/>
        <v>0</v>
      </c>
    </row>
    <row r="710" spans="13:13" ht="15.75" thickBot="1" x14ac:dyDescent="0.3">
      <c r="M710" s="60">
        <f t="shared" si="25"/>
        <v>0</v>
      </c>
    </row>
    <row r="711" spans="13:13" ht="15.75" thickBot="1" x14ac:dyDescent="0.3">
      <c r="M711" s="60">
        <f t="shared" si="25"/>
        <v>0</v>
      </c>
    </row>
    <row r="712" spans="13:13" ht="15.75" thickBot="1" x14ac:dyDescent="0.3">
      <c r="M712" s="60">
        <f t="shared" ref="M712:M775" si="26">J712*G712</f>
        <v>0</v>
      </c>
    </row>
    <row r="713" spans="13:13" ht="15.75" thickBot="1" x14ac:dyDescent="0.3">
      <c r="M713" s="60">
        <f t="shared" si="26"/>
        <v>0</v>
      </c>
    </row>
    <row r="714" spans="13:13" ht="15.75" thickBot="1" x14ac:dyDescent="0.3">
      <c r="M714" s="60">
        <f t="shared" si="26"/>
        <v>0</v>
      </c>
    </row>
    <row r="715" spans="13:13" ht="15.75" thickBot="1" x14ac:dyDescent="0.3">
      <c r="M715" s="60">
        <f t="shared" si="26"/>
        <v>0</v>
      </c>
    </row>
    <row r="716" spans="13:13" ht="15.75" thickBot="1" x14ac:dyDescent="0.3">
      <c r="M716" s="60">
        <f t="shared" si="26"/>
        <v>0</v>
      </c>
    </row>
    <row r="717" spans="13:13" ht="15.75" thickBot="1" x14ac:dyDescent="0.3">
      <c r="M717" s="60">
        <f t="shared" si="26"/>
        <v>0</v>
      </c>
    </row>
    <row r="718" spans="13:13" ht="15.75" thickBot="1" x14ac:dyDescent="0.3">
      <c r="M718" s="60">
        <f t="shared" si="26"/>
        <v>0</v>
      </c>
    </row>
    <row r="719" spans="13:13" ht="15.75" thickBot="1" x14ac:dyDescent="0.3">
      <c r="M719" s="60">
        <f t="shared" si="26"/>
        <v>0</v>
      </c>
    </row>
    <row r="720" spans="13:13" ht="15.75" thickBot="1" x14ac:dyDescent="0.3">
      <c r="M720" s="60">
        <f t="shared" si="26"/>
        <v>0</v>
      </c>
    </row>
    <row r="721" spans="13:13" ht="15.75" thickBot="1" x14ac:dyDescent="0.3">
      <c r="M721" s="60">
        <f t="shared" si="26"/>
        <v>0</v>
      </c>
    </row>
    <row r="722" spans="13:13" ht="15.75" thickBot="1" x14ac:dyDescent="0.3">
      <c r="M722" s="60">
        <f t="shared" si="26"/>
        <v>0</v>
      </c>
    </row>
    <row r="723" spans="13:13" ht="15.75" thickBot="1" x14ac:dyDescent="0.3">
      <c r="M723" s="60">
        <f t="shared" si="26"/>
        <v>0</v>
      </c>
    </row>
    <row r="724" spans="13:13" ht="15.75" thickBot="1" x14ac:dyDescent="0.3">
      <c r="M724" s="60">
        <f t="shared" si="26"/>
        <v>0</v>
      </c>
    </row>
    <row r="725" spans="13:13" ht="15.75" thickBot="1" x14ac:dyDescent="0.3">
      <c r="M725" s="60">
        <f t="shared" si="26"/>
        <v>0</v>
      </c>
    </row>
    <row r="726" spans="13:13" ht="15.75" thickBot="1" x14ac:dyDescent="0.3">
      <c r="M726" s="60">
        <f t="shared" si="26"/>
        <v>0</v>
      </c>
    </row>
    <row r="727" spans="13:13" ht="15.75" thickBot="1" x14ac:dyDescent="0.3">
      <c r="M727" s="60">
        <f t="shared" si="26"/>
        <v>0</v>
      </c>
    </row>
    <row r="728" spans="13:13" ht="15.75" thickBot="1" x14ac:dyDescent="0.3">
      <c r="M728" s="60">
        <f t="shared" si="26"/>
        <v>0</v>
      </c>
    </row>
    <row r="729" spans="13:13" ht="15.75" thickBot="1" x14ac:dyDescent="0.3">
      <c r="M729" s="60">
        <f t="shared" si="26"/>
        <v>0</v>
      </c>
    </row>
    <row r="730" spans="13:13" ht="15.75" thickBot="1" x14ac:dyDescent="0.3">
      <c r="M730" s="60">
        <f t="shared" si="26"/>
        <v>0</v>
      </c>
    </row>
    <row r="731" spans="13:13" ht="15.75" thickBot="1" x14ac:dyDescent="0.3">
      <c r="M731" s="60">
        <f t="shared" si="26"/>
        <v>0</v>
      </c>
    </row>
    <row r="732" spans="13:13" ht="15.75" thickBot="1" x14ac:dyDescent="0.3">
      <c r="M732" s="60">
        <f t="shared" si="26"/>
        <v>0</v>
      </c>
    </row>
    <row r="733" spans="13:13" ht="15.75" thickBot="1" x14ac:dyDescent="0.3">
      <c r="M733" s="60">
        <f t="shared" si="26"/>
        <v>0</v>
      </c>
    </row>
    <row r="734" spans="13:13" ht="15.75" thickBot="1" x14ac:dyDescent="0.3">
      <c r="M734" s="60">
        <f t="shared" si="26"/>
        <v>0</v>
      </c>
    </row>
    <row r="735" spans="13:13" ht="15.75" thickBot="1" x14ac:dyDescent="0.3">
      <c r="M735" s="60">
        <f t="shared" si="26"/>
        <v>0</v>
      </c>
    </row>
    <row r="736" spans="13:13" ht="15.75" thickBot="1" x14ac:dyDescent="0.3">
      <c r="M736" s="60">
        <f t="shared" si="26"/>
        <v>0</v>
      </c>
    </row>
    <row r="737" spans="13:13" ht="15.75" thickBot="1" x14ac:dyDescent="0.3">
      <c r="M737" s="60">
        <f t="shared" si="26"/>
        <v>0</v>
      </c>
    </row>
    <row r="738" spans="13:13" ht="15.75" thickBot="1" x14ac:dyDescent="0.3">
      <c r="M738" s="60">
        <f t="shared" si="26"/>
        <v>0</v>
      </c>
    </row>
    <row r="739" spans="13:13" ht="15.75" thickBot="1" x14ac:dyDescent="0.3">
      <c r="M739" s="60">
        <f t="shared" si="26"/>
        <v>0</v>
      </c>
    </row>
    <row r="740" spans="13:13" ht="15.75" thickBot="1" x14ac:dyDescent="0.3">
      <c r="M740" s="60">
        <f t="shared" si="26"/>
        <v>0</v>
      </c>
    </row>
    <row r="741" spans="13:13" ht="15.75" thickBot="1" x14ac:dyDescent="0.3">
      <c r="M741" s="60">
        <f t="shared" si="26"/>
        <v>0</v>
      </c>
    </row>
    <row r="742" spans="13:13" ht="15.75" thickBot="1" x14ac:dyDescent="0.3">
      <c r="M742" s="60">
        <f t="shared" si="26"/>
        <v>0</v>
      </c>
    </row>
    <row r="743" spans="13:13" ht="15.75" thickBot="1" x14ac:dyDescent="0.3">
      <c r="M743" s="60">
        <f t="shared" si="26"/>
        <v>0</v>
      </c>
    </row>
    <row r="744" spans="13:13" ht="15.75" thickBot="1" x14ac:dyDescent="0.3">
      <c r="M744" s="60">
        <f t="shared" si="26"/>
        <v>0</v>
      </c>
    </row>
    <row r="745" spans="13:13" ht="15.75" thickBot="1" x14ac:dyDescent="0.3">
      <c r="M745" s="60">
        <f t="shared" si="26"/>
        <v>0</v>
      </c>
    </row>
    <row r="746" spans="13:13" ht="15.75" thickBot="1" x14ac:dyDescent="0.3">
      <c r="M746" s="60">
        <f t="shared" si="26"/>
        <v>0</v>
      </c>
    </row>
    <row r="747" spans="13:13" ht="15.75" thickBot="1" x14ac:dyDescent="0.3">
      <c r="M747" s="60">
        <f t="shared" si="26"/>
        <v>0</v>
      </c>
    </row>
    <row r="748" spans="13:13" ht="15.75" thickBot="1" x14ac:dyDescent="0.3">
      <c r="M748" s="60">
        <f t="shared" si="26"/>
        <v>0</v>
      </c>
    </row>
    <row r="749" spans="13:13" ht="15.75" thickBot="1" x14ac:dyDescent="0.3">
      <c r="M749" s="60">
        <f t="shared" si="26"/>
        <v>0</v>
      </c>
    </row>
    <row r="750" spans="13:13" ht="15.75" thickBot="1" x14ac:dyDescent="0.3">
      <c r="M750" s="60">
        <f t="shared" si="26"/>
        <v>0</v>
      </c>
    </row>
    <row r="751" spans="13:13" ht="15.75" thickBot="1" x14ac:dyDescent="0.3">
      <c r="M751" s="60">
        <f t="shared" si="26"/>
        <v>0</v>
      </c>
    </row>
    <row r="752" spans="13:13" ht="15.75" thickBot="1" x14ac:dyDescent="0.3">
      <c r="M752" s="60">
        <f t="shared" si="26"/>
        <v>0</v>
      </c>
    </row>
    <row r="753" spans="13:13" ht="15.75" thickBot="1" x14ac:dyDescent="0.3">
      <c r="M753" s="60">
        <f t="shared" si="26"/>
        <v>0</v>
      </c>
    </row>
    <row r="754" spans="13:13" ht="15.75" thickBot="1" x14ac:dyDescent="0.3">
      <c r="M754" s="60">
        <f t="shared" si="26"/>
        <v>0</v>
      </c>
    </row>
    <row r="755" spans="13:13" ht="15.75" thickBot="1" x14ac:dyDescent="0.3">
      <c r="M755" s="60">
        <f t="shared" si="26"/>
        <v>0</v>
      </c>
    </row>
    <row r="756" spans="13:13" ht="15.75" thickBot="1" x14ac:dyDescent="0.3">
      <c r="M756" s="60">
        <f t="shared" si="26"/>
        <v>0</v>
      </c>
    </row>
    <row r="757" spans="13:13" ht="15.75" thickBot="1" x14ac:dyDescent="0.3">
      <c r="M757" s="60">
        <f t="shared" si="26"/>
        <v>0</v>
      </c>
    </row>
    <row r="758" spans="13:13" ht="15.75" thickBot="1" x14ac:dyDescent="0.3">
      <c r="M758" s="60">
        <f t="shared" si="26"/>
        <v>0</v>
      </c>
    </row>
    <row r="759" spans="13:13" ht="15.75" thickBot="1" x14ac:dyDescent="0.3">
      <c r="M759" s="60">
        <f t="shared" si="26"/>
        <v>0</v>
      </c>
    </row>
    <row r="760" spans="13:13" ht="15.75" thickBot="1" x14ac:dyDescent="0.3">
      <c r="M760" s="60">
        <f t="shared" si="26"/>
        <v>0</v>
      </c>
    </row>
    <row r="761" spans="13:13" ht="15.75" thickBot="1" x14ac:dyDescent="0.3">
      <c r="M761" s="60">
        <f t="shared" si="26"/>
        <v>0</v>
      </c>
    </row>
    <row r="762" spans="13:13" ht="15.75" thickBot="1" x14ac:dyDescent="0.3">
      <c r="M762" s="60">
        <f t="shared" si="26"/>
        <v>0</v>
      </c>
    </row>
    <row r="763" spans="13:13" ht="15.75" thickBot="1" x14ac:dyDescent="0.3">
      <c r="M763" s="60">
        <f t="shared" si="26"/>
        <v>0</v>
      </c>
    </row>
    <row r="764" spans="13:13" ht="15.75" thickBot="1" x14ac:dyDescent="0.3">
      <c r="M764" s="60">
        <f t="shared" si="26"/>
        <v>0</v>
      </c>
    </row>
    <row r="765" spans="13:13" ht="15.75" thickBot="1" x14ac:dyDescent="0.3">
      <c r="M765" s="60">
        <f t="shared" si="26"/>
        <v>0</v>
      </c>
    </row>
    <row r="766" spans="13:13" ht="15.75" thickBot="1" x14ac:dyDescent="0.3">
      <c r="M766" s="60">
        <f t="shared" si="26"/>
        <v>0</v>
      </c>
    </row>
    <row r="767" spans="13:13" ht="15.75" thickBot="1" x14ac:dyDescent="0.3">
      <c r="M767" s="60">
        <f t="shared" si="26"/>
        <v>0</v>
      </c>
    </row>
    <row r="768" spans="13:13" ht="15.75" thickBot="1" x14ac:dyDescent="0.3">
      <c r="M768" s="60">
        <f t="shared" si="26"/>
        <v>0</v>
      </c>
    </row>
    <row r="769" spans="13:13" ht="15.75" thickBot="1" x14ac:dyDescent="0.3">
      <c r="M769" s="60">
        <f t="shared" si="26"/>
        <v>0</v>
      </c>
    </row>
    <row r="770" spans="13:13" ht="15.75" thickBot="1" x14ac:dyDescent="0.3">
      <c r="M770" s="60">
        <f t="shared" si="26"/>
        <v>0</v>
      </c>
    </row>
    <row r="771" spans="13:13" ht="15.75" thickBot="1" x14ac:dyDescent="0.3">
      <c r="M771" s="60">
        <f t="shared" si="26"/>
        <v>0</v>
      </c>
    </row>
    <row r="772" spans="13:13" ht="15.75" thickBot="1" x14ac:dyDescent="0.3">
      <c r="M772" s="60">
        <f t="shared" si="26"/>
        <v>0</v>
      </c>
    </row>
    <row r="773" spans="13:13" ht="15.75" thickBot="1" x14ac:dyDescent="0.3">
      <c r="M773" s="60">
        <f t="shared" si="26"/>
        <v>0</v>
      </c>
    </row>
    <row r="774" spans="13:13" ht="15.75" thickBot="1" x14ac:dyDescent="0.3">
      <c r="M774" s="60">
        <f t="shared" si="26"/>
        <v>0</v>
      </c>
    </row>
    <row r="775" spans="13:13" ht="15.75" thickBot="1" x14ac:dyDescent="0.3">
      <c r="M775" s="60">
        <f t="shared" si="26"/>
        <v>0</v>
      </c>
    </row>
    <row r="776" spans="13:13" ht="15.75" thickBot="1" x14ac:dyDescent="0.3">
      <c r="M776" s="60">
        <f t="shared" ref="M776:M839" si="27">J776*G776</f>
        <v>0</v>
      </c>
    </row>
    <row r="777" spans="13:13" ht="15.75" thickBot="1" x14ac:dyDescent="0.3">
      <c r="M777" s="60">
        <f t="shared" si="27"/>
        <v>0</v>
      </c>
    </row>
    <row r="778" spans="13:13" ht="15.75" thickBot="1" x14ac:dyDescent="0.3">
      <c r="M778" s="60">
        <f t="shared" si="27"/>
        <v>0</v>
      </c>
    </row>
    <row r="779" spans="13:13" ht="15.75" thickBot="1" x14ac:dyDescent="0.3">
      <c r="M779" s="60">
        <f t="shared" si="27"/>
        <v>0</v>
      </c>
    </row>
    <row r="780" spans="13:13" ht="15.75" thickBot="1" x14ac:dyDescent="0.3">
      <c r="M780" s="60">
        <f t="shared" si="27"/>
        <v>0</v>
      </c>
    </row>
    <row r="781" spans="13:13" ht="15.75" thickBot="1" x14ac:dyDescent="0.3">
      <c r="M781" s="60">
        <f t="shared" si="27"/>
        <v>0</v>
      </c>
    </row>
    <row r="782" spans="13:13" ht="15.75" thickBot="1" x14ac:dyDescent="0.3">
      <c r="M782" s="60">
        <f t="shared" si="27"/>
        <v>0</v>
      </c>
    </row>
    <row r="783" spans="13:13" ht="15.75" thickBot="1" x14ac:dyDescent="0.3">
      <c r="M783" s="60">
        <f t="shared" si="27"/>
        <v>0</v>
      </c>
    </row>
    <row r="784" spans="13:13" ht="15.75" thickBot="1" x14ac:dyDescent="0.3">
      <c r="M784" s="60">
        <f t="shared" si="27"/>
        <v>0</v>
      </c>
    </row>
    <row r="785" spans="13:13" ht="15.75" thickBot="1" x14ac:dyDescent="0.3">
      <c r="M785" s="60">
        <f t="shared" si="27"/>
        <v>0</v>
      </c>
    </row>
    <row r="786" spans="13:13" ht="15.75" thickBot="1" x14ac:dyDescent="0.3">
      <c r="M786" s="60">
        <f t="shared" si="27"/>
        <v>0</v>
      </c>
    </row>
    <row r="787" spans="13:13" ht="15.75" thickBot="1" x14ac:dyDescent="0.3">
      <c r="M787" s="60">
        <f t="shared" si="27"/>
        <v>0</v>
      </c>
    </row>
    <row r="788" spans="13:13" ht="15.75" thickBot="1" x14ac:dyDescent="0.3">
      <c r="M788" s="60">
        <f t="shared" si="27"/>
        <v>0</v>
      </c>
    </row>
    <row r="789" spans="13:13" ht="15.75" thickBot="1" x14ac:dyDescent="0.3">
      <c r="M789" s="60">
        <f t="shared" si="27"/>
        <v>0</v>
      </c>
    </row>
    <row r="790" spans="13:13" ht="15.75" thickBot="1" x14ac:dyDescent="0.3">
      <c r="M790" s="60">
        <f t="shared" si="27"/>
        <v>0</v>
      </c>
    </row>
    <row r="791" spans="13:13" ht="15.75" thickBot="1" x14ac:dyDescent="0.3">
      <c r="M791" s="60">
        <f t="shared" si="27"/>
        <v>0</v>
      </c>
    </row>
    <row r="792" spans="13:13" ht="15.75" thickBot="1" x14ac:dyDescent="0.3">
      <c r="M792" s="60">
        <f t="shared" si="27"/>
        <v>0</v>
      </c>
    </row>
    <row r="793" spans="13:13" ht="15.75" thickBot="1" x14ac:dyDescent="0.3">
      <c r="M793" s="60">
        <f t="shared" si="27"/>
        <v>0</v>
      </c>
    </row>
    <row r="794" spans="13:13" ht="15.75" thickBot="1" x14ac:dyDescent="0.3">
      <c r="M794" s="60">
        <f t="shared" si="27"/>
        <v>0</v>
      </c>
    </row>
    <row r="795" spans="13:13" ht="15.75" thickBot="1" x14ac:dyDescent="0.3">
      <c r="M795" s="60">
        <f t="shared" si="27"/>
        <v>0</v>
      </c>
    </row>
    <row r="796" spans="13:13" ht="15.75" thickBot="1" x14ac:dyDescent="0.3">
      <c r="M796" s="60">
        <f t="shared" si="27"/>
        <v>0</v>
      </c>
    </row>
    <row r="797" spans="13:13" ht="15.75" thickBot="1" x14ac:dyDescent="0.3">
      <c r="M797" s="60">
        <f t="shared" si="27"/>
        <v>0</v>
      </c>
    </row>
    <row r="798" spans="13:13" ht="15.75" thickBot="1" x14ac:dyDescent="0.3">
      <c r="M798" s="60">
        <f t="shared" si="27"/>
        <v>0</v>
      </c>
    </row>
    <row r="799" spans="13:13" ht="15.75" thickBot="1" x14ac:dyDescent="0.3">
      <c r="M799" s="60">
        <f t="shared" si="27"/>
        <v>0</v>
      </c>
    </row>
    <row r="800" spans="13:13" ht="15.75" thickBot="1" x14ac:dyDescent="0.3">
      <c r="M800" s="60">
        <f t="shared" si="27"/>
        <v>0</v>
      </c>
    </row>
    <row r="801" spans="13:13" ht="15.75" thickBot="1" x14ac:dyDescent="0.3">
      <c r="M801" s="60">
        <f t="shared" si="27"/>
        <v>0</v>
      </c>
    </row>
    <row r="802" spans="13:13" ht="15.75" thickBot="1" x14ac:dyDescent="0.3">
      <c r="M802" s="60">
        <f t="shared" si="27"/>
        <v>0</v>
      </c>
    </row>
    <row r="803" spans="13:13" ht="15.75" thickBot="1" x14ac:dyDescent="0.3">
      <c r="M803" s="60">
        <f t="shared" si="27"/>
        <v>0</v>
      </c>
    </row>
    <row r="804" spans="13:13" ht="15.75" thickBot="1" x14ac:dyDescent="0.3">
      <c r="M804" s="60">
        <f t="shared" si="27"/>
        <v>0</v>
      </c>
    </row>
    <row r="805" spans="13:13" ht="15.75" thickBot="1" x14ac:dyDescent="0.3">
      <c r="M805" s="60">
        <f t="shared" si="27"/>
        <v>0</v>
      </c>
    </row>
    <row r="806" spans="13:13" ht="15.75" thickBot="1" x14ac:dyDescent="0.3">
      <c r="M806" s="60">
        <f t="shared" si="27"/>
        <v>0</v>
      </c>
    </row>
    <row r="807" spans="13:13" ht="15.75" thickBot="1" x14ac:dyDescent="0.3">
      <c r="M807" s="60">
        <f t="shared" si="27"/>
        <v>0</v>
      </c>
    </row>
    <row r="808" spans="13:13" ht="15.75" thickBot="1" x14ac:dyDescent="0.3">
      <c r="M808" s="60">
        <f t="shared" si="27"/>
        <v>0</v>
      </c>
    </row>
    <row r="809" spans="13:13" ht="15.75" thickBot="1" x14ac:dyDescent="0.3">
      <c r="M809" s="60">
        <f t="shared" si="27"/>
        <v>0</v>
      </c>
    </row>
    <row r="810" spans="13:13" ht="15.75" thickBot="1" x14ac:dyDescent="0.3">
      <c r="M810" s="60">
        <f t="shared" si="27"/>
        <v>0</v>
      </c>
    </row>
    <row r="811" spans="13:13" ht="15.75" thickBot="1" x14ac:dyDescent="0.3">
      <c r="M811" s="60">
        <f t="shared" si="27"/>
        <v>0</v>
      </c>
    </row>
    <row r="812" spans="13:13" ht="15.75" thickBot="1" x14ac:dyDescent="0.3">
      <c r="M812" s="60">
        <f t="shared" si="27"/>
        <v>0</v>
      </c>
    </row>
    <row r="813" spans="13:13" ht="15.75" thickBot="1" x14ac:dyDescent="0.3">
      <c r="M813" s="60">
        <f t="shared" si="27"/>
        <v>0</v>
      </c>
    </row>
    <row r="814" spans="13:13" ht="15.75" thickBot="1" x14ac:dyDescent="0.3">
      <c r="M814" s="60">
        <f t="shared" si="27"/>
        <v>0</v>
      </c>
    </row>
    <row r="815" spans="13:13" ht="15.75" thickBot="1" x14ac:dyDescent="0.3">
      <c r="M815" s="60">
        <f t="shared" si="27"/>
        <v>0</v>
      </c>
    </row>
    <row r="816" spans="13:13" ht="15.75" thickBot="1" x14ac:dyDescent="0.3">
      <c r="M816" s="60">
        <f t="shared" si="27"/>
        <v>0</v>
      </c>
    </row>
    <row r="817" spans="13:13" ht="15.75" thickBot="1" x14ac:dyDescent="0.3">
      <c r="M817" s="60">
        <f t="shared" si="27"/>
        <v>0</v>
      </c>
    </row>
    <row r="818" spans="13:13" ht="15.75" thickBot="1" x14ac:dyDescent="0.3">
      <c r="M818" s="60">
        <f t="shared" si="27"/>
        <v>0</v>
      </c>
    </row>
    <row r="819" spans="13:13" ht="15.75" thickBot="1" x14ac:dyDescent="0.3">
      <c r="M819" s="60">
        <f t="shared" si="27"/>
        <v>0</v>
      </c>
    </row>
    <row r="820" spans="13:13" ht="15.75" thickBot="1" x14ac:dyDescent="0.3">
      <c r="M820" s="60">
        <f t="shared" si="27"/>
        <v>0</v>
      </c>
    </row>
    <row r="821" spans="13:13" ht="15.75" thickBot="1" x14ac:dyDescent="0.3">
      <c r="M821" s="60">
        <f t="shared" si="27"/>
        <v>0</v>
      </c>
    </row>
    <row r="822" spans="13:13" ht="15.75" thickBot="1" x14ac:dyDescent="0.3">
      <c r="M822" s="60">
        <f t="shared" si="27"/>
        <v>0</v>
      </c>
    </row>
    <row r="823" spans="13:13" ht="15.75" thickBot="1" x14ac:dyDescent="0.3">
      <c r="M823" s="60">
        <f t="shared" si="27"/>
        <v>0</v>
      </c>
    </row>
    <row r="824" spans="13:13" ht="15.75" thickBot="1" x14ac:dyDescent="0.3">
      <c r="M824" s="60">
        <f t="shared" si="27"/>
        <v>0</v>
      </c>
    </row>
    <row r="825" spans="13:13" ht="15.75" thickBot="1" x14ac:dyDescent="0.3">
      <c r="M825" s="60">
        <f t="shared" si="27"/>
        <v>0</v>
      </c>
    </row>
    <row r="826" spans="13:13" ht="15.75" thickBot="1" x14ac:dyDescent="0.3">
      <c r="M826" s="60">
        <f t="shared" si="27"/>
        <v>0</v>
      </c>
    </row>
    <row r="827" spans="13:13" ht="15.75" thickBot="1" x14ac:dyDescent="0.3">
      <c r="M827" s="60">
        <f t="shared" si="27"/>
        <v>0</v>
      </c>
    </row>
    <row r="828" spans="13:13" ht="15.75" thickBot="1" x14ac:dyDescent="0.3">
      <c r="M828" s="60">
        <f t="shared" si="27"/>
        <v>0</v>
      </c>
    </row>
    <row r="829" spans="13:13" ht="15.75" thickBot="1" x14ac:dyDescent="0.3">
      <c r="M829" s="60">
        <f t="shared" si="27"/>
        <v>0</v>
      </c>
    </row>
    <row r="830" spans="13:13" ht="15.75" thickBot="1" x14ac:dyDescent="0.3">
      <c r="M830" s="60">
        <f t="shared" si="27"/>
        <v>0</v>
      </c>
    </row>
    <row r="831" spans="13:13" ht="15.75" thickBot="1" x14ac:dyDescent="0.3">
      <c r="M831" s="60">
        <f t="shared" si="27"/>
        <v>0</v>
      </c>
    </row>
    <row r="832" spans="13:13" ht="15.75" thickBot="1" x14ac:dyDescent="0.3">
      <c r="M832" s="60">
        <f t="shared" si="27"/>
        <v>0</v>
      </c>
    </row>
    <row r="833" spans="13:13" ht="15.75" thickBot="1" x14ac:dyDescent="0.3">
      <c r="M833" s="60">
        <f t="shared" si="27"/>
        <v>0</v>
      </c>
    </row>
    <row r="834" spans="13:13" ht="15.75" thickBot="1" x14ac:dyDescent="0.3">
      <c r="M834" s="60">
        <f t="shared" si="27"/>
        <v>0</v>
      </c>
    </row>
    <row r="835" spans="13:13" ht="15.75" thickBot="1" x14ac:dyDescent="0.3">
      <c r="M835" s="60">
        <f t="shared" si="27"/>
        <v>0</v>
      </c>
    </row>
    <row r="836" spans="13:13" ht="15.75" thickBot="1" x14ac:dyDescent="0.3">
      <c r="M836" s="60">
        <f t="shared" si="27"/>
        <v>0</v>
      </c>
    </row>
    <row r="837" spans="13:13" ht="15.75" thickBot="1" x14ac:dyDescent="0.3">
      <c r="M837" s="60">
        <f t="shared" si="27"/>
        <v>0</v>
      </c>
    </row>
    <row r="838" spans="13:13" ht="15.75" thickBot="1" x14ac:dyDescent="0.3">
      <c r="M838" s="60">
        <f t="shared" si="27"/>
        <v>0</v>
      </c>
    </row>
    <row r="839" spans="13:13" ht="15.75" thickBot="1" x14ac:dyDescent="0.3">
      <c r="M839" s="60">
        <f t="shared" si="27"/>
        <v>0</v>
      </c>
    </row>
    <row r="840" spans="13:13" ht="15.75" thickBot="1" x14ac:dyDescent="0.3">
      <c r="M840" s="60">
        <f t="shared" ref="M840:M903" si="28">J840*G840</f>
        <v>0</v>
      </c>
    </row>
    <row r="841" spans="13:13" ht="15.75" thickBot="1" x14ac:dyDescent="0.3">
      <c r="M841" s="60">
        <f t="shared" si="28"/>
        <v>0</v>
      </c>
    </row>
    <row r="842" spans="13:13" ht="15.75" thickBot="1" x14ac:dyDescent="0.3">
      <c r="M842" s="60">
        <f t="shared" si="28"/>
        <v>0</v>
      </c>
    </row>
    <row r="843" spans="13:13" ht="15.75" thickBot="1" x14ac:dyDescent="0.3">
      <c r="M843" s="60">
        <f t="shared" si="28"/>
        <v>0</v>
      </c>
    </row>
    <row r="844" spans="13:13" ht="15.75" thickBot="1" x14ac:dyDescent="0.3">
      <c r="M844" s="60">
        <f t="shared" si="28"/>
        <v>0</v>
      </c>
    </row>
    <row r="845" spans="13:13" ht="15.75" thickBot="1" x14ac:dyDescent="0.3">
      <c r="M845" s="60">
        <f t="shared" si="28"/>
        <v>0</v>
      </c>
    </row>
    <row r="846" spans="13:13" ht="15.75" thickBot="1" x14ac:dyDescent="0.3">
      <c r="M846" s="60">
        <f t="shared" si="28"/>
        <v>0</v>
      </c>
    </row>
    <row r="847" spans="13:13" ht="15.75" thickBot="1" x14ac:dyDescent="0.3">
      <c r="M847" s="60">
        <f t="shared" si="28"/>
        <v>0</v>
      </c>
    </row>
    <row r="848" spans="13:13" ht="15.75" thickBot="1" x14ac:dyDescent="0.3">
      <c r="M848" s="60">
        <f t="shared" si="28"/>
        <v>0</v>
      </c>
    </row>
    <row r="849" spans="13:13" ht="15.75" thickBot="1" x14ac:dyDescent="0.3">
      <c r="M849" s="60">
        <f t="shared" si="28"/>
        <v>0</v>
      </c>
    </row>
    <row r="850" spans="13:13" ht="15.75" thickBot="1" x14ac:dyDescent="0.3">
      <c r="M850" s="60">
        <f t="shared" si="28"/>
        <v>0</v>
      </c>
    </row>
    <row r="851" spans="13:13" ht="15.75" thickBot="1" x14ac:dyDescent="0.3">
      <c r="M851" s="60">
        <f t="shared" si="28"/>
        <v>0</v>
      </c>
    </row>
    <row r="852" spans="13:13" ht="15.75" thickBot="1" x14ac:dyDescent="0.3">
      <c r="M852" s="60">
        <f t="shared" si="28"/>
        <v>0</v>
      </c>
    </row>
    <row r="853" spans="13:13" ht="15.75" thickBot="1" x14ac:dyDescent="0.3">
      <c r="M853" s="60">
        <f t="shared" si="28"/>
        <v>0</v>
      </c>
    </row>
    <row r="854" spans="13:13" ht="15.75" thickBot="1" x14ac:dyDescent="0.3">
      <c r="M854" s="60">
        <f t="shared" si="28"/>
        <v>0</v>
      </c>
    </row>
    <row r="855" spans="13:13" ht="15.75" thickBot="1" x14ac:dyDescent="0.3">
      <c r="M855" s="60">
        <f t="shared" si="28"/>
        <v>0</v>
      </c>
    </row>
    <row r="856" spans="13:13" ht="15.75" thickBot="1" x14ac:dyDescent="0.3">
      <c r="M856" s="60">
        <f t="shared" si="28"/>
        <v>0</v>
      </c>
    </row>
    <row r="857" spans="13:13" ht="15.75" thickBot="1" x14ac:dyDescent="0.3">
      <c r="M857" s="60">
        <f t="shared" si="28"/>
        <v>0</v>
      </c>
    </row>
    <row r="858" spans="13:13" ht="15.75" thickBot="1" x14ac:dyDescent="0.3">
      <c r="M858" s="60">
        <f t="shared" si="28"/>
        <v>0</v>
      </c>
    </row>
    <row r="859" spans="13:13" ht="15.75" thickBot="1" x14ac:dyDescent="0.3">
      <c r="M859" s="60">
        <f t="shared" si="28"/>
        <v>0</v>
      </c>
    </row>
    <row r="860" spans="13:13" ht="15.75" thickBot="1" x14ac:dyDescent="0.3">
      <c r="M860" s="60">
        <f t="shared" si="28"/>
        <v>0</v>
      </c>
    </row>
    <row r="861" spans="13:13" ht="15.75" thickBot="1" x14ac:dyDescent="0.3">
      <c r="M861" s="60">
        <f t="shared" si="28"/>
        <v>0</v>
      </c>
    </row>
    <row r="862" spans="13:13" ht="15.75" thickBot="1" x14ac:dyDescent="0.3">
      <c r="M862" s="60">
        <f t="shared" si="28"/>
        <v>0</v>
      </c>
    </row>
    <row r="863" spans="13:13" ht="15.75" thickBot="1" x14ac:dyDescent="0.3">
      <c r="M863" s="60">
        <f t="shared" si="28"/>
        <v>0</v>
      </c>
    </row>
    <row r="864" spans="13:13" ht="15.75" thickBot="1" x14ac:dyDescent="0.3">
      <c r="M864" s="60">
        <f t="shared" si="28"/>
        <v>0</v>
      </c>
    </row>
    <row r="865" spans="13:13" ht="15.75" thickBot="1" x14ac:dyDescent="0.3">
      <c r="M865" s="60">
        <f t="shared" si="28"/>
        <v>0</v>
      </c>
    </row>
    <row r="866" spans="13:13" ht="15.75" thickBot="1" x14ac:dyDescent="0.3">
      <c r="M866" s="60">
        <f t="shared" si="28"/>
        <v>0</v>
      </c>
    </row>
    <row r="867" spans="13:13" ht="15.75" thickBot="1" x14ac:dyDescent="0.3">
      <c r="M867" s="60">
        <f t="shared" si="28"/>
        <v>0</v>
      </c>
    </row>
    <row r="868" spans="13:13" ht="15.75" thickBot="1" x14ac:dyDescent="0.3">
      <c r="M868" s="60">
        <f t="shared" si="28"/>
        <v>0</v>
      </c>
    </row>
    <row r="869" spans="13:13" ht="15.75" thickBot="1" x14ac:dyDescent="0.3">
      <c r="M869" s="60">
        <f t="shared" si="28"/>
        <v>0</v>
      </c>
    </row>
    <row r="870" spans="13:13" ht="15.75" thickBot="1" x14ac:dyDescent="0.3">
      <c r="M870" s="60">
        <f t="shared" si="28"/>
        <v>0</v>
      </c>
    </row>
    <row r="871" spans="13:13" ht="15.75" thickBot="1" x14ac:dyDescent="0.3">
      <c r="M871" s="60">
        <f t="shared" si="28"/>
        <v>0</v>
      </c>
    </row>
    <row r="872" spans="13:13" ht="15.75" thickBot="1" x14ac:dyDescent="0.3">
      <c r="M872" s="60">
        <f t="shared" si="28"/>
        <v>0</v>
      </c>
    </row>
    <row r="873" spans="13:13" ht="15.75" thickBot="1" x14ac:dyDescent="0.3">
      <c r="M873" s="60">
        <f t="shared" si="28"/>
        <v>0</v>
      </c>
    </row>
    <row r="874" spans="13:13" ht="15.75" thickBot="1" x14ac:dyDescent="0.3">
      <c r="M874" s="60">
        <f t="shared" si="28"/>
        <v>0</v>
      </c>
    </row>
    <row r="875" spans="13:13" ht="15.75" thickBot="1" x14ac:dyDescent="0.3">
      <c r="M875" s="60">
        <f t="shared" si="28"/>
        <v>0</v>
      </c>
    </row>
    <row r="876" spans="13:13" ht="15.75" thickBot="1" x14ac:dyDescent="0.3">
      <c r="M876" s="60">
        <f t="shared" si="28"/>
        <v>0</v>
      </c>
    </row>
    <row r="877" spans="13:13" ht="15.75" thickBot="1" x14ac:dyDescent="0.3">
      <c r="M877" s="60">
        <f t="shared" si="28"/>
        <v>0</v>
      </c>
    </row>
    <row r="878" spans="13:13" ht="15.75" thickBot="1" x14ac:dyDescent="0.3">
      <c r="M878" s="60">
        <f t="shared" si="28"/>
        <v>0</v>
      </c>
    </row>
    <row r="879" spans="13:13" ht="15.75" thickBot="1" x14ac:dyDescent="0.3">
      <c r="M879" s="60">
        <f t="shared" si="28"/>
        <v>0</v>
      </c>
    </row>
    <row r="880" spans="13:13" ht="15.75" thickBot="1" x14ac:dyDescent="0.3">
      <c r="M880" s="60">
        <f t="shared" si="28"/>
        <v>0</v>
      </c>
    </row>
    <row r="881" spans="13:13" ht="15.75" thickBot="1" x14ac:dyDescent="0.3">
      <c r="M881" s="60">
        <f t="shared" si="28"/>
        <v>0</v>
      </c>
    </row>
    <row r="882" spans="13:13" ht="15.75" thickBot="1" x14ac:dyDescent="0.3">
      <c r="M882" s="60">
        <f t="shared" si="28"/>
        <v>0</v>
      </c>
    </row>
    <row r="883" spans="13:13" ht="15.75" thickBot="1" x14ac:dyDescent="0.3">
      <c r="M883" s="60">
        <f t="shared" si="28"/>
        <v>0</v>
      </c>
    </row>
    <row r="884" spans="13:13" ht="15.75" thickBot="1" x14ac:dyDescent="0.3">
      <c r="M884" s="60">
        <f t="shared" si="28"/>
        <v>0</v>
      </c>
    </row>
    <row r="885" spans="13:13" ht="15.75" thickBot="1" x14ac:dyDescent="0.3">
      <c r="M885" s="60">
        <f t="shared" si="28"/>
        <v>0</v>
      </c>
    </row>
    <row r="886" spans="13:13" ht="15.75" thickBot="1" x14ac:dyDescent="0.3">
      <c r="M886" s="60">
        <f t="shared" si="28"/>
        <v>0</v>
      </c>
    </row>
    <row r="887" spans="13:13" ht="15.75" thickBot="1" x14ac:dyDescent="0.3">
      <c r="M887" s="60">
        <f t="shared" si="28"/>
        <v>0</v>
      </c>
    </row>
    <row r="888" spans="13:13" ht="15.75" thickBot="1" x14ac:dyDescent="0.3">
      <c r="M888" s="60">
        <f t="shared" si="28"/>
        <v>0</v>
      </c>
    </row>
    <row r="889" spans="13:13" ht="15.75" thickBot="1" x14ac:dyDescent="0.3">
      <c r="M889" s="60">
        <f t="shared" si="28"/>
        <v>0</v>
      </c>
    </row>
    <row r="890" spans="13:13" ht="15.75" thickBot="1" x14ac:dyDescent="0.3">
      <c r="M890" s="60">
        <f t="shared" si="28"/>
        <v>0</v>
      </c>
    </row>
    <row r="891" spans="13:13" ht="15.75" thickBot="1" x14ac:dyDescent="0.3">
      <c r="M891" s="60">
        <f t="shared" si="28"/>
        <v>0</v>
      </c>
    </row>
    <row r="892" spans="13:13" ht="15.75" thickBot="1" x14ac:dyDescent="0.3">
      <c r="M892" s="60">
        <f t="shared" si="28"/>
        <v>0</v>
      </c>
    </row>
    <row r="893" spans="13:13" ht="15.75" thickBot="1" x14ac:dyDescent="0.3">
      <c r="M893" s="60">
        <f t="shared" si="28"/>
        <v>0</v>
      </c>
    </row>
    <row r="894" spans="13:13" ht="15.75" thickBot="1" x14ac:dyDescent="0.3">
      <c r="M894" s="60">
        <f t="shared" si="28"/>
        <v>0</v>
      </c>
    </row>
    <row r="895" spans="13:13" ht="15.75" thickBot="1" x14ac:dyDescent="0.3">
      <c r="M895" s="60">
        <f t="shared" si="28"/>
        <v>0</v>
      </c>
    </row>
    <row r="896" spans="13:13" ht="15.75" thickBot="1" x14ac:dyDescent="0.3">
      <c r="M896" s="60">
        <f t="shared" si="28"/>
        <v>0</v>
      </c>
    </row>
    <row r="897" spans="13:13" ht="15.75" thickBot="1" x14ac:dyDescent="0.3">
      <c r="M897" s="60">
        <f t="shared" si="28"/>
        <v>0</v>
      </c>
    </row>
    <row r="898" spans="13:13" ht="15.75" thickBot="1" x14ac:dyDescent="0.3">
      <c r="M898" s="60">
        <f t="shared" si="28"/>
        <v>0</v>
      </c>
    </row>
    <row r="899" spans="13:13" ht="15.75" thickBot="1" x14ac:dyDescent="0.3">
      <c r="M899" s="60">
        <f t="shared" si="28"/>
        <v>0</v>
      </c>
    </row>
    <row r="900" spans="13:13" ht="15.75" thickBot="1" x14ac:dyDescent="0.3">
      <c r="M900" s="60">
        <f t="shared" si="28"/>
        <v>0</v>
      </c>
    </row>
    <row r="901" spans="13:13" ht="15.75" thickBot="1" x14ac:dyDescent="0.3">
      <c r="M901" s="60">
        <f t="shared" si="28"/>
        <v>0</v>
      </c>
    </row>
    <row r="902" spans="13:13" ht="15.75" thickBot="1" x14ac:dyDescent="0.3">
      <c r="M902" s="60">
        <f t="shared" si="28"/>
        <v>0</v>
      </c>
    </row>
    <row r="903" spans="13:13" ht="15.75" thickBot="1" x14ac:dyDescent="0.3">
      <c r="M903" s="60">
        <f t="shared" si="28"/>
        <v>0</v>
      </c>
    </row>
    <row r="904" spans="13:13" ht="15.75" thickBot="1" x14ac:dyDescent="0.3">
      <c r="M904" s="60">
        <f t="shared" ref="M904:M967" si="29">J904*G904</f>
        <v>0</v>
      </c>
    </row>
    <row r="905" spans="13:13" ht="15.75" thickBot="1" x14ac:dyDescent="0.3">
      <c r="M905" s="60">
        <f t="shared" si="29"/>
        <v>0</v>
      </c>
    </row>
    <row r="906" spans="13:13" ht="15.75" thickBot="1" x14ac:dyDescent="0.3">
      <c r="M906" s="60">
        <f t="shared" si="29"/>
        <v>0</v>
      </c>
    </row>
    <row r="907" spans="13:13" ht="15.75" thickBot="1" x14ac:dyDescent="0.3">
      <c r="M907" s="60">
        <f t="shared" si="29"/>
        <v>0</v>
      </c>
    </row>
    <row r="908" spans="13:13" ht="15.75" thickBot="1" x14ac:dyDescent="0.3">
      <c r="M908" s="60">
        <f t="shared" si="29"/>
        <v>0</v>
      </c>
    </row>
    <row r="909" spans="13:13" ht="15.75" thickBot="1" x14ac:dyDescent="0.3">
      <c r="M909" s="60">
        <f t="shared" si="29"/>
        <v>0</v>
      </c>
    </row>
    <row r="910" spans="13:13" ht="15.75" thickBot="1" x14ac:dyDescent="0.3">
      <c r="M910" s="60">
        <f t="shared" si="29"/>
        <v>0</v>
      </c>
    </row>
    <row r="911" spans="13:13" ht="15.75" thickBot="1" x14ac:dyDescent="0.3">
      <c r="M911" s="60">
        <f t="shared" si="29"/>
        <v>0</v>
      </c>
    </row>
    <row r="912" spans="13:13" ht="15.75" thickBot="1" x14ac:dyDescent="0.3">
      <c r="M912" s="60">
        <f t="shared" si="29"/>
        <v>0</v>
      </c>
    </row>
    <row r="913" spans="13:13" ht="15.75" thickBot="1" x14ac:dyDescent="0.3">
      <c r="M913" s="60">
        <f t="shared" si="29"/>
        <v>0</v>
      </c>
    </row>
    <row r="914" spans="13:13" ht="15.75" thickBot="1" x14ac:dyDescent="0.3">
      <c r="M914" s="60">
        <f t="shared" si="29"/>
        <v>0</v>
      </c>
    </row>
    <row r="915" spans="13:13" ht="15.75" thickBot="1" x14ac:dyDescent="0.3">
      <c r="M915" s="60">
        <f t="shared" si="29"/>
        <v>0</v>
      </c>
    </row>
    <row r="916" spans="13:13" ht="15.75" thickBot="1" x14ac:dyDescent="0.3">
      <c r="M916" s="60">
        <f t="shared" si="29"/>
        <v>0</v>
      </c>
    </row>
    <row r="917" spans="13:13" ht="15.75" thickBot="1" x14ac:dyDescent="0.3">
      <c r="M917" s="60">
        <f t="shared" si="29"/>
        <v>0</v>
      </c>
    </row>
    <row r="918" spans="13:13" ht="15.75" thickBot="1" x14ac:dyDescent="0.3">
      <c r="M918" s="60">
        <f t="shared" si="29"/>
        <v>0</v>
      </c>
    </row>
    <row r="919" spans="13:13" ht="15.75" thickBot="1" x14ac:dyDescent="0.3">
      <c r="M919" s="60">
        <f t="shared" si="29"/>
        <v>0</v>
      </c>
    </row>
    <row r="920" spans="13:13" ht="15.75" thickBot="1" x14ac:dyDescent="0.3">
      <c r="M920" s="60">
        <f t="shared" si="29"/>
        <v>0</v>
      </c>
    </row>
    <row r="921" spans="13:13" ht="15.75" thickBot="1" x14ac:dyDescent="0.3">
      <c r="M921" s="60">
        <f t="shared" si="29"/>
        <v>0</v>
      </c>
    </row>
    <row r="922" spans="13:13" ht="15.75" thickBot="1" x14ac:dyDescent="0.3">
      <c r="M922" s="60">
        <f t="shared" si="29"/>
        <v>0</v>
      </c>
    </row>
    <row r="923" spans="13:13" ht="15.75" thickBot="1" x14ac:dyDescent="0.3">
      <c r="M923" s="60">
        <f t="shared" si="29"/>
        <v>0</v>
      </c>
    </row>
    <row r="924" spans="13:13" ht="15.75" thickBot="1" x14ac:dyDescent="0.3">
      <c r="M924" s="60">
        <f t="shared" si="29"/>
        <v>0</v>
      </c>
    </row>
    <row r="925" spans="13:13" ht="15.75" thickBot="1" x14ac:dyDescent="0.3">
      <c r="M925" s="60">
        <f t="shared" si="29"/>
        <v>0</v>
      </c>
    </row>
    <row r="926" spans="13:13" ht="15.75" thickBot="1" x14ac:dyDescent="0.3">
      <c r="M926" s="60">
        <f t="shared" si="29"/>
        <v>0</v>
      </c>
    </row>
    <row r="927" spans="13:13" ht="15.75" thickBot="1" x14ac:dyDescent="0.3">
      <c r="M927" s="60">
        <f t="shared" si="29"/>
        <v>0</v>
      </c>
    </row>
    <row r="928" spans="13:13" ht="15.75" thickBot="1" x14ac:dyDescent="0.3">
      <c r="M928" s="60">
        <f t="shared" si="29"/>
        <v>0</v>
      </c>
    </row>
    <row r="929" spans="13:13" ht="15.75" thickBot="1" x14ac:dyDescent="0.3">
      <c r="M929" s="60">
        <f t="shared" si="29"/>
        <v>0</v>
      </c>
    </row>
    <row r="930" spans="13:13" ht="15.75" thickBot="1" x14ac:dyDescent="0.3">
      <c r="M930" s="60">
        <f t="shared" si="29"/>
        <v>0</v>
      </c>
    </row>
    <row r="931" spans="13:13" ht="15.75" thickBot="1" x14ac:dyDescent="0.3">
      <c r="M931" s="60">
        <f t="shared" si="29"/>
        <v>0</v>
      </c>
    </row>
    <row r="932" spans="13:13" ht="15.75" thickBot="1" x14ac:dyDescent="0.3">
      <c r="M932" s="60">
        <f t="shared" si="29"/>
        <v>0</v>
      </c>
    </row>
    <row r="933" spans="13:13" ht="15.75" thickBot="1" x14ac:dyDescent="0.3">
      <c r="M933" s="60">
        <f t="shared" si="29"/>
        <v>0</v>
      </c>
    </row>
    <row r="934" spans="13:13" ht="15.75" thickBot="1" x14ac:dyDescent="0.3">
      <c r="M934" s="60">
        <f t="shared" si="29"/>
        <v>0</v>
      </c>
    </row>
    <row r="935" spans="13:13" ht="15.75" thickBot="1" x14ac:dyDescent="0.3">
      <c r="M935" s="60">
        <f t="shared" si="29"/>
        <v>0</v>
      </c>
    </row>
    <row r="936" spans="13:13" ht="15.75" thickBot="1" x14ac:dyDescent="0.3">
      <c r="M936" s="60">
        <f t="shared" si="29"/>
        <v>0</v>
      </c>
    </row>
    <row r="937" spans="13:13" ht="15.75" thickBot="1" x14ac:dyDescent="0.3">
      <c r="M937" s="60">
        <f t="shared" si="29"/>
        <v>0</v>
      </c>
    </row>
    <row r="938" spans="13:13" ht="15.75" thickBot="1" x14ac:dyDescent="0.3">
      <c r="M938" s="60">
        <f t="shared" si="29"/>
        <v>0</v>
      </c>
    </row>
    <row r="939" spans="13:13" ht="15.75" thickBot="1" x14ac:dyDescent="0.3">
      <c r="M939" s="60">
        <f t="shared" si="29"/>
        <v>0</v>
      </c>
    </row>
    <row r="940" spans="13:13" ht="15.75" thickBot="1" x14ac:dyDescent="0.3">
      <c r="M940" s="60">
        <f t="shared" si="29"/>
        <v>0</v>
      </c>
    </row>
    <row r="941" spans="13:13" ht="15.75" thickBot="1" x14ac:dyDescent="0.3">
      <c r="M941" s="60">
        <f t="shared" si="29"/>
        <v>0</v>
      </c>
    </row>
    <row r="942" spans="13:13" ht="15.75" thickBot="1" x14ac:dyDescent="0.3">
      <c r="M942" s="60">
        <f t="shared" si="29"/>
        <v>0</v>
      </c>
    </row>
    <row r="943" spans="13:13" ht="15.75" thickBot="1" x14ac:dyDescent="0.3">
      <c r="M943" s="60">
        <f t="shared" si="29"/>
        <v>0</v>
      </c>
    </row>
    <row r="944" spans="13:13" ht="15.75" thickBot="1" x14ac:dyDescent="0.3">
      <c r="M944" s="60">
        <f t="shared" si="29"/>
        <v>0</v>
      </c>
    </row>
    <row r="945" spans="13:13" ht="15.75" thickBot="1" x14ac:dyDescent="0.3">
      <c r="M945" s="60">
        <f t="shared" si="29"/>
        <v>0</v>
      </c>
    </row>
    <row r="946" spans="13:13" ht="15.75" thickBot="1" x14ac:dyDescent="0.3">
      <c r="M946" s="60">
        <f t="shared" si="29"/>
        <v>0</v>
      </c>
    </row>
    <row r="947" spans="13:13" ht="15.75" thickBot="1" x14ac:dyDescent="0.3">
      <c r="M947" s="60">
        <f t="shared" si="29"/>
        <v>0</v>
      </c>
    </row>
    <row r="948" spans="13:13" ht="15.75" thickBot="1" x14ac:dyDescent="0.3">
      <c r="M948" s="60">
        <f t="shared" si="29"/>
        <v>0</v>
      </c>
    </row>
    <row r="949" spans="13:13" ht="15.75" thickBot="1" x14ac:dyDescent="0.3">
      <c r="M949" s="60">
        <f t="shared" si="29"/>
        <v>0</v>
      </c>
    </row>
    <row r="950" spans="13:13" ht="15.75" thickBot="1" x14ac:dyDescent="0.3">
      <c r="M950" s="60">
        <f t="shared" si="29"/>
        <v>0</v>
      </c>
    </row>
    <row r="951" spans="13:13" ht="15.75" thickBot="1" x14ac:dyDescent="0.3">
      <c r="M951" s="60">
        <f t="shared" si="29"/>
        <v>0</v>
      </c>
    </row>
    <row r="952" spans="13:13" ht="15.75" thickBot="1" x14ac:dyDescent="0.3">
      <c r="M952" s="60">
        <f t="shared" si="29"/>
        <v>0</v>
      </c>
    </row>
    <row r="953" spans="13:13" ht="15.75" thickBot="1" x14ac:dyDescent="0.3">
      <c r="M953" s="60">
        <f t="shared" si="29"/>
        <v>0</v>
      </c>
    </row>
    <row r="954" spans="13:13" ht="15.75" thickBot="1" x14ac:dyDescent="0.3">
      <c r="M954" s="60">
        <f t="shared" si="29"/>
        <v>0</v>
      </c>
    </row>
    <row r="955" spans="13:13" ht="15.75" thickBot="1" x14ac:dyDescent="0.3">
      <c r="M955" s="60">
        <f t="shared" si="29"/>
        <v>0</v>
      </c>
    </row>
    <row r="956" spans="13:13" ht="15.75" thickBot="1" x14ac:dyDescent="0.3">
      <c r="M956" s="60">
        <f t="shared" si="29"/>
        <v>0</v>
      </c>
    </row>
    <row r="957" spans="13:13" ht="15.75" thickBot="1" x14ac:dyDescent="0.3">
      <c r="M957" s="60">
        <f t="shared" si="29"/>
        <v>0</v>
      </c>
    </row>
    <row r="958" spans="13:13" ht="15.75" thickBot="1" x14ac:dyDescent="0.3">
      <c r="M958" s="60">
        <f t="shared" si="29"/>
        <v>0</v>
      </c>
    </row>
    <row r="959" spans="13:13" ht="15.75" thickBot="1" x14ac:dyDescent="0.3">
      <c r="M959" s="60">
        <f t="shared" si="29"/>
        <v>0</v>
      </c>
    </row>
    <row r="960" spans="13:13" ht="15.75" thickBot="1" x14ac:dyDescent="0.3">
      <c r="M960" s="60">
        <f t="shared" si="29"/>
        <v>0</v>
      </c>
    </row>
    <row r="961" spans="13:13" ht="15.75" thickBot="1" x14ac:dyDescent="0.3">
      <c r="M961" s="60">
        <f t="shared" si="29"/>
        <v>0</v>
      </c>
    </row>
    <row r="962" spans="13:13" ht="15.75" thickBot="1" x14ac:dyDescent="0.3">
      <c r="M962" s="60">
        <f t="shared" si="29"/>
        <v>0</v>
      </c>
    </row>
    <row r="963" spans="13:13" ht="15.75" thickBot="1" x14ac:dyDescent="0.3">
      <c r="M963" s="60">
        <f t="shared" si="29"/>
        <v>0</v>
      </c>
    </row>
    <row r="964" spans="13:13" ht="15.75" thickBot="1" x14ac:dyDescent="0.3">
      <c r="M964" s="60">
        <f t="shared" si="29"/>
        <v>0</v>
      </c>
    </row>
    <row r="965" spans="13:13" ht="15.75" thickBot="1" x14ac:dyDescent="0.3">
      <c r="M965" s="60">
        <f t="shared" si="29"/>
        <v>0</v>
      </c>
    </row>
    <row r="966" spans="13:13" ht="15.75" thickBot="1" x14ac:dyDescent="0.3">
      <c r="M966" s="60">
        <f t="shared" si="29"/>
        <v>0</v>
      </c>
    </row>
    <row r="967" spans="13:13" ht="15.75" thickBot="1" x14ac:dyDescent="0.3">
      <c r="M967" s="60">
        <f t="shared" si="29"/>
        <v>0</v>
      </c>
    </row>
    <row r="968" spans="13:13" ht="15.75" thickBot="1" x14ac:dyDescent="0.3">
      <c r="M968" s="60">
        <f t="shared" ref="M968:M1031" si="30">J968*G968</f>
        <v>0</v>
      </c>
    </row>
    <row r="969" spans="13:13" ht="15.75" thickBot="1" x14ac:dyDescent="0.3">
      <c r="M969" s="60">
        <f t="shared" si="30"/>
        <v>0</v>
      </c>
    </row>
    <row r="970" spans="13:13" ht="15.75" thickBot="1" x14ac:dyDescent="0.3">
      <c r="M970" s="60">
        <f t="shared" si="30"/>
        <v>0</v>
      </c>
    </row>
    <row r="971" spans="13:13" ht="15.75" thickBot="1" x14ac:dyDescent="0.3">
      <c r="M971" s="60">
        <f t="shared" si="30"/>
        <v>0</v>
      </c>
    </row>
    <row r="972" spans="13:13" ht="15.75" thickBot="1" x14ac:dyDescent="0.3">
      <c r="M972" s="60">
        <f t="shared" si="30"/>
        <v>0</v>
      </c>
    </row>
    <row r="973" spans="13:13" ht="15.75" thickBot="1" x14ac:dyDescent="0.3">
      <c r="M973" s="60">
        <f t="shared" si="30"/>
        <v>0</v>
      </c>
    </row>
    <row r="974" spans="13:13" ht="15.75" thickBot="1" x14ac:dyDescent="0.3">
      <c r="M974" s="60">
        <f t="shared" si="30"/>
        <v>0</v>
      </c>
    </row>
    <row r="975" spans="13:13" ht="15.75" thickBot="1" x14ac:dyDescent="0.3">
      <c r="M975" s="60">
        <f t="shared" si="30"/>
        <v>0</v>
      </c>
    </row>
    <row r="976" spans="13:13" ht="15.75" thickBot="1" x14ac:dyDescent="0.3">
      <c r="M976" s="60">
        <f t="shared" si="30"/>
        <v>0</v>
      </c>
    </row>
    <row r="977" spans="13:13" ht="15.75" thickBot="1" x14ac:dyDescent="0.3">
      <c r="M977" s="60">
        <f t="shared" si="30"/>
        <v>0</v>
      </c>
    </row>
    <row r="978" spans="13:13" ht="15.75" thickBot="1" x14ac:dyDescent="0.3">
      <c r="M978" s="60">
        <f t="shared" si="30"/>
        <v>0</v>
      </c>
    </row>
    <row r="979" spans="13:13" ht="15.75" thickBot="1" x14ac:dyDescent="0.3">
      <c r="M979" s="60">
        <f t="shared" si="30"/>
        <v>0</v>
      </c>
    </row>
    <row r="980" spans="13:13" ht="15.75" thickBot="1" x14ac:dyDescent="0.3">
      <c r="M980" s="60">
        <f t="shared" si="30"/>
        <v>0</v>
      </c>
    </row>
    <row r="981" spans="13:13" ht="15.75" thickBot="1" x14ac:dyDescent="0.3">
      <c r="M981" s="60">
        <f t="shared" si="30"/>
        <v>0</v>
      </c>
    </row>
    <row r="982" spans="13:13" ht="15.75" thickBot="1" x14ac:dyDescent="0.3">
      <c r="M982" s="60">
        <f t="shared" si="30"/>
        <v>0</v>
      </c>
    </row>
    <row r="983" spans="13:13" ht="15.75" thickBot="1" x14ac:dyDescent="0.3">
      <c r="M983" s="60">
        <f t="shared" si="30"/>
        <v>0</v>
      </c>
    </row>
    <row r="984" spans="13:13" ht="15.75" thickBot="1" x14ac:dyDescent="0.3">
      <c r="M984" s="60">
        <f t="shared" si="30"/>
        <v>0</v>
      </c>
    </row>
    <row r="985" spans="13:13" ht="15.75" thickBot="1" x14ac:dyDescent="0.3">
      <c r="M985" s="60">
        <f t="shared" si="30"/>
        <v>0</v>
      </c>
    </row>
    <row r="986" spans="13:13" ht="15.75" thickBot="1" x14ac:dyDescent="0.3">
      <c r="M986" s="60">
        <f t="shared" si="30"/>
        <v>0</v>
      </c>
    </row>
    <row r="987" spans="13:13" ht="15.75" thickBot="1" x14ac:dyDescent="0.3">
      <c r="M987" s="60">
        <f t="shared" si="30"/>
        <v>0</v>
      </c>
    </row>
    <row r="988" spans="13:13" ht="15.75" thickBot="1" x14ac:dyDescent="0.3">
      <c r="M988" s="60">
        <f t="shared" si="30"/>
        <v>0</v>
      </c>
    </row>
    <row r="989" spans="13:13" ht="15.75" thickBot="1" x14ac:dyDescent="0.3">
      <c r="M989" s="60">
        <f t="shared" si="30"/>
        <v>0</v>
      </c>
    </row>
    <row r="990" spans="13:13" ht="15.75" thickBot="1" x14ac:dyDescent="0.3">
      <c r="M990" s="60">
        <f t="shared" si="30"/>
        <v>0</v>
      </c>
    </row>
    <row r="991" spans="13:13" ht="15.75" thickBot="1" x14ac:dyDescent="0.3">
      <c r="M991" s="60">
        <f t="shared" si="30"/>
        <v>0</v>
      </c>
    </row>
    <row r="992" spans="13:13" ht="15.75" thickBot="1" x14ac:dyDescent="0.3">
      <c r="M992" s="60">
        <f t="shared" si="30"/>
        <v>0</v>
      </c>
    </row>
    <row r="993" spans="13:13" ht="15.75" thickBot="1" x14ac:dyDescent="0.3">
      <c r="M993" s="60">
        <f t="shared" si="30"/>
        <v>0</v>
      </c>
    </row>
    <row r="994" spans="13:13" ht="15.75" thickBot="1" x14ac:dyDescent="0.3">
      <c r="M994" s="60">
        <f t="shared" si="30"/>
        <v>0</v>
      </c>
    </row>
    <row r="995" spans="13:13" ht="15.75" thickBot="1" x14ac:dyDescent="0.3">
      <c r="M995" s="60">
        <f t="shared" si="30"/>
        <v>0</v>
      </c>
    </row>
    <row r="996" spans="13:13" ht="15.75" thickBot="1" x14ac:dyDescent="0.3">
      <c r="M996" s="60">
        <f t="shared" si="30"/>
        <v>0</v>
      </c>
    </row>
    <row r="997" spans="13:13" ht="15.75" thickBot="1" x14ac:dyDescent="0.3">
      <c r="M997" s="60">
        <f t="shared" si="30"/>
        <v>0</v>
      </c>
    </row>
    <row r="998" spans="13:13" ht="15.75" thickBot="1" x14ac:dyDescent="0.3">
      <c r="M998" s="60">
        <f t="shared" si="30"/>
        <v>0</v>
      </c>
    </row>
    <row r="999" spans="13:13" ht="15.75" thickBot="1" x14ac:dyDescent="0.3">
      <c r="M999" s="60">
        <f t="shared" si="30"/>
        <v>0</v>
      </c>
    </row>
    <row r="1000" spans="13:13" ht="15.75" thickBot="1" x14ac:dyDescent="0.3">
      <c r="M1000" s="60">
        <f t="shared" si="30"/>
        <v>0</v>
      </c>
    </row>
    <row r="1001" spans="13:13" ht="15.75" thickBot="1" x14ac:dyDescent="0.3">
      <c r="M1001" s="60">
        <f t="shared" si="30"/>
        <v>0</v>
      </c>
    </row>
    <row r="1002" spans="13:13" ht="15.75" thickBot="1" x14ac:dyDescent="0.3">
      <c r="M1002" s="60">
        <f t="shared" si="30"/>
        <v>0</v>
      </c>
    </row>
    <row r="1003" spans="13:13" ht="15.75" thickBot="1" x14ac:dyDescent="0.3">
      <c r="M1003" s="60">
        <f t="shared" si="30"/>
        <v>0</v>
      </c>
    </row>
    <row r="1004" spans="13:13" ht="15.75" thickBot="1" x14ac:dyDescent="0.3">
      <c r="M1004" s="60">
        <f t="shared" si="30"/>
        <v>0</v>
      </c>
    </row>
    <row r="1005" spans="13:13" ht="15.75" thickBot="1" x14ac:dyDescent="0.3">
      <c r="M1005" s="60">
        <f t="shared" si="30"/>
        <v>0</v>
      </c>
    </row>
    <row r="1006" spans="13:13" ht="15.75" thickBot="1" x14ac:dyDescent="0.3">
      <c r="M1006" s="60">
        <f t="shared" si="30"/>
        <v>0</v>
      </c>
    </row>
    <row r="1007" spans="13:13" ht="15.75" thickBot="1" x14ac:dyDescent="0.3">
      <c r="M1007" s="60">
        <f t="shared" si="30"/>
        <v>0</v>
      </c>
    </row>
    <row r="1008" spans="13:13" ht="15.75" thickBot="1" x14ac:dyDescent="0.3">
      <c r="M1008" s="60">
        <f t="shared" si="30"/>
        <v>0</v>
      </c>
    </row>
    <row r="1009" spans="13:13" ht="15.75" thickBot="1" x14ac:dyDescent="0.3">
      <c r="M1009" s="60">
        <f t="shared" si="30"/>
        <v>0</v>
      </c>
    </row>
    <row r="1010" spans="13:13" ht="15.75" thickBot="1" x14ac:dyDescent="0.3">
      <c r="M1010" s="60">
        <f t="shared" si="30"/>
        <v>0</v>
      </c>
    </row>
    <row r="1011" spans="13:13" ht="15.75" thickBot="1" x14ac:dyDescent="0.3">
      <c r="M1011" s="60">
        <f t="shared" si="30"/>
        <v>0</v>
      </c>
    </row>
    <row r="1012" spans="13:13" ht="15.75" thickBot="1" x14ac:dyDescent="0.3">
      <c r="M1012" s="60">
        <f t="shared" si="30"/>
        <v>0</v>
      </c>
    </row>
    <row r="1013" spans="13:13" ht="15.75" thickBot="1" x14ac:dyDescent="0.3">
      <c r="M1013" s="60">
        <f t="shared" si="30"/>
        <v>0</v>
      </c>
    </row>
    <row r="1014" spans="13:13" ht="15.75" thickBot="1" x14ac:dyDescent="0.3">
      <c r="M1014" s="60">
        <f t="shared" si="30"/>
        <v>0</v>
      </c>
    </row>
    <row r="1015" spans="13:13" ht="15.75" thickBot="1" x14ac:dyDescent="0.3">
      <c r="M1015" s="60">
        <f t="shared" si="30"/>
        <v>0</v>
      </c>
    </row>
    <row r="1016" spans="13:13" ht="15.75" thickBot="1" x14ac:dyDescent="0.3">
      <c r="M1016" s="60">
        <f t="shared" si="30"/>
        <v>0</v>
      </c>
    </row>
    <row r="1017" spans="13:13" ht="15.75" thickBot="1" x14ac:dyDescent="0.3">
      <c r="M1017" s="60">
        <f t="shared" si="30"/>
        <v>0</v>
      </c>
    </row>
    <row r="1018" spans="13:13" ht="15.75" thickBot="1" x14ac:dyDescent="0.3">
      <c r="M1018" s="60">
        <f t="shared" si="30"/>
        <v>0</v>
      </c>
    </row>
    <row r="1019" spans="13:13" ht="15.75" thickBot="1" x14ac:dyDescent="0.3">
      <c r="M1019" s="60">
        <f t="shared" si="30"/>
        <v>0</v>
      </c>
    </row>
    <row r="1020" spans="13:13" ht="15.75" thickBot="1" x14ac:dyDescent="0.3">
      <c r="M1020" s="60">
        <f t="shared" si="30"/>
        <v>0</v>
      </c>
    </row>
    <row r="1021" spans="13:13" ht="15.75" thickBot="1" x14ac:dyDescent="0.3">
      <c r="M1021" s="60">
        <f t="shared" si="30"/>
        <v>0</v>
      </c>
    </row>
    <row r="1022" spans="13:13" ht="15.75" thickBot="1" x14ac:dyDescent="0.3">
      <c r="M1022" s="60">
        <f t="shared" si="30"/>
        <v>0</v>
      </c>
    </row>
    <row r="1023" spans="13:13" ht="15.75" thickBot="1" x14ac:dyDescent="0.3">
      <c r="M1023" s="60">
        <f t="shared" si="30"/>
        <v>0</v>
      </c>
    </row>
    <row r="1024" spans="13:13" ht="15.75" thickBot="1" x14ac:dyDescent="0.3">
      <c r="M1024" s="60">
        <f t="shared" si="30"/>
        <v>0</v>
      </c>
    </row>
    <row r="1025" spans="13:13" ht="15.75" thickBot="1" x14ac:dyDescent="0.3">
      <c r="M1025" s="60">
        <f t="shared" si="30"/>
        <v>0</v>
      </c>
    </row>
    <row r="1026" spans="13:13" ht="15.75" thickBot="1" x14ac:dyDescent="0.3">
      <c r="M1026" s="60">
        <f t="shared" si="30"/>
        <v>0</v>
      </c>
    </row>
    <row r="1027" spans="13:13" ht="15.75" thickBot="1" x14ac:dyDescent="0.3">
      <c r="M1027" s="60">
        <f t="shared" si="30"/>
        <v>0</v>
      </c>
    </row>
    <row r="1028" spans="13:13" ht="15.75" thickBot="1" x14ac:dyDescent="0.3">
      <c r="M1028" s="60">
        <f t="shared" si="30"/>
        <v>0</v>
      </c>
    </row>
    <row r="1029" spans="13:13" ht="15.75" thickBot="1" x14ac:dyDescent="0.3">
      <c r="M1029" s="60">
        <f t="shared" si="30"/>
        <v>0</v>
      </c>
    </row>
    <row r="1030" spans="13:13" ht="15.75" thickBot="1" x14ac:dyDescent="0.3">
      <c r="M1030" s="60">
        <f t="shared" si="30"/>
        <v>0</v>
      </c>
    </row>
    <row r="1031" spans="13:13" ht="15.75" thickBot="1" x14ac:dyDescent="0.3">
      <c r="M1031" s="60">
        <f t="shared" si="30"/>
        <v>0</v>
      </c>
    </row>
    <row r="1032" spans="13:13" ht="15.75" thickBot="1" x14ac:dyDescent="0.3">
      <c r="M1032" s="60">
        <f t="shared" ref="M1032:M1095" si="31">J1032*G1032</f>
        <v>0</v>
      </c>
    </row>
    <row r="1033" spans="13:13" ht="15.75" thickBot="1" x14ac:dyDescent="0.3">
      <c r="M1033" s="60">
        <f t="shared" si="31"/>
        <v>0</v>
      </c>
    </row>
    <row r="1034" spans="13:13" ht="15.75" thickBot="1" x14ac:dyDescent="0.3">
      <c r="M1034" s="60">
        <f t="shared" si="31"/>
        <v>0</v>
      </c>
    </row>
    <row r="1035" spans="13:13" ht="15.75" thickBot="1" x14ac:dyDescent="0.3">
      <c r="M1035" s="60">
        <f t="shared" si="31"/>
        <v>0</v>
      </c>
    </row>
    <row r="1036" spans="13:13" ht="15.75" thickBot="1" x14ac:dyDescent="0.3">
      <c r="M1036" s="60">
        <f t="shared" si="31"/>
        <v>0</v>
      </c>
    </row>
    <row r="1037" spans="13:13" ht="15.75" thickBot="1" x14ac:dyDescent="0.3">
      <c r="M1037" s="60">
        <f t="shared" si="31"/>
        <v>0</v>
      </c>
    </row>
    <row r="1038" spans="13:13" ht="15.75" thickBot="1" x14ac:dyDescent="0.3">
      <c r="M1038" s="60">
        <f t="shared" si="31"/>
        <v>0</v>
      </c>
    </row>
    <row r="1039" spans="13:13" ht="15.75" thickBot="1" x14ac:dyDescent="0.3">
      <c r="M1039" s="60">
        <f t="shared" si="31"/>
        <v>0</v>
      </c>
    </row>
    <row r="1040" spans="13:13" ht="15.75" thickBot="1" x14ac:dyDescent="0.3">
      <c r="M1040" s="60">
        <f t="shared" si="31"/>
        <v>0</v>
      </c>
    </row>
    <row r="1041" spans="13:13" ht="15.75" thickBot="1" x14ac:dyDescent="0.3">
      <c r="M1041" s="60">
        <f t="shared" si="31"/>
        <v>0</v>
      </c>
    </row>
    <row r="1042" spans="13:13" ht="15.75" thickBot="1" x14ac:dyDescent="0.3">
      <c r="M1042" s="60">
        <f t="shared" si="31"/>
        <v>0</v>
      </c>
    </row>
    <row r="1043" spans="13:13" ht="15.75" thickBot="1" x14ac:dyDescent="0.3">
      <c r="M1043" s="60">
        <f t="shared" si="31"/>
        <v>0</v>
      </c>
    </row>
    <row r="1044" spans="13:13" ht="15.75" thickBot="1" x14ac:dyDescent="0.3">
      <c r="M1044" s="60">
        <f t="shared" si="31"/>
        <v>0</v>
      </c>
    </row>
    <row r="1045" spans="13:13" ht="15.75" thickBot="1" x14ac:dyDescent="0.3">
      <c r="M1045" s="60">
        <f t="shared" si="31"/>
        <v>0</v>
      </c>
    </row>
    <row r="1046" spans="13:13" ht="15.75" thickBot="1" x14ac:dyDescent="0.3">
      <c r="M1046" s="60">
        <f t="shared" si="31"/>
        <v>0</v>
      </c>
    </row>
    <row r="1047" spans="13:13" ht="15.75" thickBot="1" x14ac:dyDescent="0.3">
      <c r="M1047" s="60">
        <f t="shared" si="31"/>
        <v>0</v>
      </c>
    </row>
    <row r="1048" spans="13:13" ht="15.75" thickBot="1" x14ac:dyDescent="0.3">
      <c r="M1048" s="60">
        <f t="shared" si="31"/>
        <v>0</v>
      </c>
    </row>
    <row r="1049" spans="13:13" ht="15.75" thickBot="1" x14ac:dyDescent="0.3">
      <c r="M1049" s="60">
        <f t="shared" si="31"/>
        <v>0</v>
      </c>
    </row>
    <row r="1050" spans="13:13" ht="15.75" thickBot="1" x14ac:dyDescent="0.3">
      <c r="M1050" s="60">
        <f t="shared" si="31"/>
        <v>0</v>
      </c>
    </row>
    <row r="1051" spans="13:13" ht="15.75" thickBot="1" x14ac:dyDescent="0.3">
      <c r="M1051" s="60">
        <f t="shared" si="31"/>
        <v>0</v>
      </c>
    </row>
    <row r="1052" spans="13:13" ht="15.75" thickBot="1" x14ac:dyDescent="0.3">
      <c r="M1052" s="60">
        <f t="shared" si="31"/>
        <v>0</v>
      </c>
    </row>
    <row r="1053" spans="13:13" ht="15.75" thickBot="1" x14ac:dyDescent="0.3">
      <c r="M1053" s="60">
        <f t="shared" si="31"/>
        <v>0</v>
      </c>
    </row>
    <row r="1054" spans="13:13" ht="15.75" thickBot="1" x14ac:dyDescent="0.3">
      <c r="M1054" s="60">
        <f t="shared" si="31"/>
        <v>0</v>
      </c>
    </row>
    <row r="1055" spans="13:13" ht="15.75" thickBot="1" x14ac:dyDescent="0.3">
      <c r="M1055" s="60">
        <f t="shared" si="31"/>
        <v>0</v>
      </c>
    </row>
    <row r="1056" spans="13:13" ht="15.75" thickBot="1" x14ac:dyDescent="0.3">
      <c r="M1056" s="60">
        <f t="shared" si="31"/>
        <v>0</v>
      </c>
    </row>
    <row r="1057" spans="13:13" ht="15.75" thickBot="1" x14ac:dyDescent="0.3">
      <c r="M1057" s="60">
        <f t="shared" si="31"/>
        <v>0</v>
      </c>
    </row>
    <row r="1058" spans="13:13" ht="15.75" thickBot="1" x14ac:dyDescent="0.3">
      <c r="M1058" s="60">
        <f t="shared" si="31"/>
        <v>0</v>
      </c>
    </row>
    <row r="1059" spans="13:13" ht="15.75" thickBot="1" x14ac:dyDescent="0.3">
      <c r="M1059" s="60">
        <f t="shared" si="31"/>
        <v>0</v>
      </c>
    </row>
    <row r="1060" spans="13:13" ht="15.75" thickBot="1" x14ac:dyDescent="0.3">
      <c r="M1060" s="60">
        <f t="shared" si="31"/>
        <v>0</v>
      </c>
    </row>
    <row r="1061" spans="13:13" ht="15.75" thickBot="1" x14ac:dyDescent="0.3">
      <c r="M1061" s="60">
        <f t="shared" si="31"/>
        <v>0</v>
      </c>
    </row>
    <row r="1062" spans="13:13" ht="15.75" thickBot="1" x14ac:dyDescent="0.3">
      <c r="M1062" s="60">
        <f t="shared" si="31"/>
        <v>0</v>
      </c>
    </row>
    <row r="1063" spans="13:13" ht="15.75" thickBot="1" x14ac:dyDescent="0.3">
      <c r="M1063" s="60">
        <f t="shared" si="31"/>
        <v>0</v>
      </c>
    </row>
    <row r="1064" spans="13:13" ht="15.75" thickBot="1" x14ac:dyDescent="0.3">
      <c r="M1064" s="60">
        <f t="shared" si="31"/>
        <v>0</v>
      </c>
    </row>
    <row r="1065" spans="13:13" ht="15.75" thickBot="1" x14ac:dyDescent="0.3">
      <c r="M1065" s="60">
        <f t="shared" si="31"/>
        <v>0</v>
      </c>
    </row>
    <row r="1066" spans="13:13" ht="15.75" thickBot="1" x14ac:dyDescent="0.3">
      <c r="M1066" s="60">
        <f t="shared" si="31"/>
        <v>0</v>
      </c>
    </row>
    <row r="1067" spans="13:13" ht="15.75" thickBot="1" x14ac:dyDescent="0.3">
      <c r="M1067" s="60">
        <f t="shared" si="31"/>
        <v>0</v>
      </c>
    </row>
    <row r="1068" spans="13:13" ht="15.75" thickBot="1" x14ac:dyDescent="0.3">
      <c r="M1068" s="60">
        <f t="shared" si="31"/>
        <v>0</v>
      </c>
    </row>
    <row r="1069" spans="13:13" ht="15.75" thickBot="1" x14ac:dyDescent="0.3">
      <c r="M1069" s="60">
        <f t="shared" si="31"/>
        <v>0</v>
      </c>
    </row>
    <row r="1070" spans="13:13" ht="15.75" thickBot="1" x14ac:dyDescent="0.3">
      <c r="M1070" s="60">
        <f t="shared" si="31"/>
        <v>0</v>
      </c>
    </row>
    <row r="1071" spans="13:13" ht="15.75" thickBot="1" x14ac:dyDescent="0.3">
      <c r="M1071" s="60">
        <f t="shared" si="31"/>
        <v>0</v>
      </c>
    </row>
    <row r="1072" spans="13:13" ht="15.75" thickBot="1" x14ac:dyDescent="0.3">
      <c r="M1072" s="60">
        <f t="shared" si="31"/>
        <v>0</v>
      </c>
    </row>
    <row r="1073" spans="13:13" ht="15.75" thickBot="1" x14ac:dyDescent="0.3">
      <c r="M1073" s="60">
        <f t="shared" si="31"/>
        <v>0</v>
      </c>
    </row>
    <row r="1074" spans="13:13" ht="15.75" thickBot="1" x14ac:dyDescent="0.3">
      <c r="M1074" s="60">
        <f t="shared" si="31"/>
        <v>0</v>
      </c>
    </row>
    <row r="1075" spans="13:13" ht="15.75" thickBot="1" x14ac:dyDescent="0.3">
      <c r="M1075" s="60">
        <f t="shared" si="31"/>
        <v>0</v>
      </c>
    </row>
    <row r="1076" spans="13:13" ht="15.75" thickBot="1" x14ac:dyDescent="0.3">
      <c r="M1076" s="60">
        <f t="shared" si="31"/>
        <v>0</v>
      </c>
    </row>
    <row r="1077" spans="13:13" ht="15.75" thickBot="1" x14ac:dyDescent="0.3">
      <c r="M1077" s="60">
        <f t="shared" si="31"/>
        <v>0</v>
      </c>
    </row>
    <row r="1078" spans="13:13" ht="15.75" thickBot="1" x14ac:dyDescent="0.3">
      <c r="M1078" s="60">
        <f t="shared" si="31"/>
        <v>0</v>
      </c>
    </row>
    <row r="1079" spans="13:13" ht="15.75" thickBot="1" x14ac:dyDescent="0.3">
      <c r="M1079" s="60">
        <f t="shared" si="31"/>
        <v>0</v>
      </c>
    </row>
    <row r="1080" spans="13:13" ht="15.75" thickBot="1" x14ac:dyDescent="0.3">
      <c r="M1080" s="60">
        <f t="shared" si="31"/>
        <v>0</v>
      </c>
    </row>
    <row r="1081" spans="13:13" ht="15.75" thickBot="1" x14ac:dyDescent="0.3">
      <c r="M1081" s="60">
        <f t="shared" si="31"/>
        <v>0</v>
      </c>
    </row>
    <row r="1082" spans="13:13" ht="15.75" thickBot="1" x14ac:dyDescent="0.3">
      <c r="M1082" s="60">
        <f t="shared" si="31"/>
        <v>0</v>
      </c>
    </row>
    <row r="1083" spans="13:13" ht="15.75" thickBot="1" x14ac:dyDescent="0.3">
      <c r="M1083" s="60">
        <f t="shared" si="31"/>
        <v>0</v>
      </c>
    </row>
    <row r="1084" spans="13:13" ht="15.75" thickBot="1" x14ac:dyDescent="0.3">
      <c r="M1084" s="60">
        <f t="shared" si="31"/>
        <v>0</v>
      </c>
    </row>
    <row r="1085" spans="13:13" ht="15.75" thickBot="1" x14ac:dyDescent="0.3">
      <c r="M1085" s="60">
        <f t="shared" si="31"/>
        <v>0</v>
      </c>
    </row>
    <row r="1086" spans="13:13" ht="15.75" thickBot="1" x14ac:dyDescent="0.3">
      <c r="M1086" s="60">
        <f t="shared" si="31"/>
        <v>0</v>
      </c>
    </row>
    <row r="1087" spans="13:13" ht="15.75" thickBot="1" x14ac:dyDescent="0.3">
      <c r="M1087" s="60">
        <f t="shared" si="31"/>
        <v>0</v>
      </c>
    </row>
    <row r="1088" spans="13:13" ht="15.75" thickBot="1" x14ac:dyDescent="0.3">
      <c r="M1088" s="60">
        <f t="shared" si="31"/>
        <v>0</v>
      </c>
    </row>
    <row r="1089" spans="13:13" ht="15.75" thickBot="1" x14ac:dyDescent="0.3">
      <c r="M1089" s="60">
        <f t="shared" si="31"/>
        <v>0</v>
      </c>
    </row>
    <row r="1090" spans="13:13" ht="15.75" thickBot="1" x14ac:dyDescent="0.3">
      <c r="M1090" s="60">
        <f t="shared" si="31"/>
        <v>0</v>
      </c>
    </row>
    <row r="1091" spans="13:13" ht="15.75" thickBot="1" x14ac:dyDescent="0.3">
      <c r="M1091" s="60">
        <f t="shared" si="31"/>
        <v>0</v>
      </c>
    </row>
    <row r="1092" spans="13:13" ht="15.75" thickBot="1" x14ac:dyDescent="0.3">
      <c r="M1092" s="60">
        <f t="shared" si="31"/>
        <v>0</v>
      </c>
    </row>
    <row r="1093" spans="13:13" ht="15.75" thickBot="1" x14ac:dyDescent="0.3">
      <c r="M1093" s="60">
        <f t="shared" si="31"/>
        <v>0</v>
      </c>
    </row>
    <row r="1094" spans="13:13" ht="15.75" thickBot="1" x14ac:dyDescent="0.3">
      <c r="M1094" s="60">
        <f t="shared" si="31"/>
        <v>0</v>
      </c>
    </row>
    <row r="1095" spans="13:13" ht="15.75" thickBot="1" x14ac:dyDescent="0.3">
      <c r="M1095" s="60">
        <f t="shared" si="31"/>
        <v>0</v>
      </c>
    </row>
    <row r="1096" spans="13:13" ht="15.75" thickBot="1" x14ac:dyDescent="0.3">
      <c r="M1096" s="60">
        <f t="shared" ref="M1096:M1125" si="32">J1096*G1096</f>
        <v>0</v>
      </c>
    </row>
    <row r="1097" spans="13:13" ht="15.75" thickBot="1" x14ac:dyDescent="0.3">
      <c r="M1097" s="60">
        <f t="shared" si="32"/>
        <v>0</v>
      </c>
    </row>
    <row r="1098" spans="13:13" ht="15.75" thickBot="1" x14ac:dyDescent="0.3">
      <c r="M1098" s="60">
        <f t="shared" si="32"/>
        <v>0</v>
      </c>
    </row>
    <row r="1099" spans="13:13" ht="15.75" thickBot="1" x14ac:dyDescent="0.3">
      <c r="M1099" s="60">
        <f t="shared" si="32"/>
        <v>0</v>
      </c>
    </row>
    <row r="1100" spans="13:13" ht="15.75" thickBot="1" x14ac:dyDescent="0.3">
      <c r="M1100" s="60">
        <f t="shared" si="32"/>
        <v>0</v>
      </c>
    </row>
    <row r="1101" spans="13:13" ht="15.75" thickBot="1" x14ac:dyDescent="0.3">
      <c r="M1101" s="60">
        <f t="shared" si="32"/>
        <v>0</v>
      </c>
    </row>
    <row r="1102" spans="13:13" ht="15.75" thickBot="1" x14ac:dyDescent="0.3">
      <c r="M1102" s="60">
        <f t="shared" si="32"/>
        <v>0</v>
      </c>
    </row>
    <row r="1103" spans="13:13" ht="15.75" thickBot="1" x14ac:dyDescent="0.3">
      <c r="M1103" s="60">
        <f t="shared" si="32"/>
        <v>0</v>
      </c>
    </row>
    <row r="1104" spans="13:13" ht="15.75" thickBot="1" x14ac:dyDescent="0.3">
      <c r="M1104" s="60">
        <f t="shared" si="32"/>
        <v>0</v>
      </c>
    </row>
    <row r="1105" spans="13:13" ht="15.75" thickBot="1" x14ac:dyDescent="0.3">
      <c r="M1105" s="60">
        <f t="shared" si="32"/>
        <v>0</v>
      </c>
    </row>
    <row r="1106" spans="13:13" ht="15.75" thickBot="1" x14ac:dyDescent="0.3">
      <c r="M1106" s="60">
        <f t="shared" si="32"/>
        <v>0</v>
      </c>
    </row>
    <row r="1107" spans="13:13" ht="15.75" thickBot="1" x14ac:dyDescent="0.3">
      <c r="M1107" s="60">
        <f t="shared" si="32"/>
        <v>0</v>
      </c>
    </row>
    <row r="1108" spans="13:13" ht="15.75" thickBot="1" x14ac:dyDescent="0.3">
      <c r="M1108" s="60">
        <f t="shared" si="32"/>
        <v>0</v>
      </c>
    </row>
    <row r="1109" spans="13:13" ht="15.75" thickBot="1" x14ac:dyDescent="0.3">
      <c r="M1109" s="60">
        <f t="shared" si="32"/>
        <v>0</v>
      </c>
    </row>
    <row r="1110" spans="13:13" ht="15.75" thickBot="1" x14ac:dyDescent="0.3">
      <c r="M1110" s="60">
        <f t="shared" si="32"/>
        <v>0</v>
      </c>
    </row>
    <row r="1111" spans="13:13" ht="15.75" thickBot="1" x14ac:dyDescent="0.3">
      <c r="M1111" s="60">
        <f t="shared" si="32"/>
        <v>0</v>
      </c>
    </row>
    <row r="1112" spans="13:13" ht="15.75" thickBot="1" x14ac:dyDescent="0.3">
      <c r="M1112" s="60">
        <f t="shared" si="32"/>
        <v>0</v>
      </c>
    </row>
    <row r="1113" spans="13:13" ht="15.75" thickBot="1" x14ac:dyDescent="0.3">
      <c r="M1113" s="60">
        <f t="shared" si="32"/>
        <v>0</v>
      </c>
    </row>
    <row r="1114" spans="13:13" ht="15.75" thickBot="1" x14ac:dyDescent="0.3">
      <c r="M1114" s="60">
        <f t="shared" si="32"/>
        <v>0</v>
      </c>
    </row>
    <row r="1115" spans="13:13" ht="15.75" thickBot="1" x14ac:dyDescent="0.3">
      <c r="M1115" s="60">
        <f t="shared" si="32"/>
        <v>0</v>
      </c>
    </row>
    <row r="1116" spans="13:13" ht="15.75" thickBot="1" x14ac:dyDescent="0.3">
      <c r="M1116" s="60">
        <f t="shared" si="32"/>
        <v>0</v>
      </c>
    </row>
    <row r="1117" spans="13:13" ht="15.75" thickBot="1" x14ac:dyDescent="0.3">
      <c r="M1117" s="60">
        <f t="shared" si="32"/>
        <v>0</v>
      </c>
    </row>
    <row r="1118" spans="13:13" ht="15.75" thickBot="1" x14ac:dyDescent="0.3">
      <c r="M1118" s="60">
        <f t="shared" si="32"/>
        <v>0</v>
      </c>
    </row>
    <row r="1119" spans="13:13" ht="15.75" thickBot="1" x14ac:dyDescent="0.3">
      <c r="M1119" s="60">
        <f t="shared" si="32"/>
        <v>0</v>
      </c>
    </row>
    <row r="1120" spans="13:13" ht="15.75" thickBot="1" x14ac:dyDescent="0.3">
      <c r="M1120" s="60">
        <f t="shared" si="32"/>
        <v>0</v>
      </c>
    </row>
    <row r="1121" spans="13:13" ht="15.75" thickBot="1" x14ac:dyDescent="0.3">
      <c r="M1121" s="60">
        <f t="shared" si="32"/>
        <v>0</v>
      </c>
    </row>
    <row r="1122" spans="13:13" ht="15.75" thickBot="1" x14ac:dyDescent="0.3">
      <c r="M1122" s="60">
        <f t="shared" si="32"/>
        <v>0</v>
      </c>
    </row>
    <row r="1123" spans="13:13" ht="15.75" thickBot="1" x14ac:dyDescent="0.3">
      <c r="M1123" s="60">
        <f t="shared" si="32"/>
        <v>0</v>
      </c>
    </row>
    <row r="1124" spans="13:13" ht="15.75" thickBot="1" x14ac:dyDescent="0.3">
      <c r="M1124" s="60">
        <f t="shared" si="32"/>
        <v>0</v>
      </c>
    </row>
    <row r="1125" spans="13:13" ht="15.75" thickBot="1" x14ac:dyDescent="0.3">
      <c r="M1125" s="60">
        <f t="shared" si="32"/>
        <v>0</v>
      </c>
    </row>
  </sheetData>
  <mergeCells count="53">
    <mergeCell ref="L48:L49"/>
    <mergeCell ref="C50:C51"/>
    <mergeCell ref="D50:D51"/>
    <mergeCell ref="E50:E51"/>
    <mergeCell ref="F50:F51"/>
    <mergeCell ref="K50:K51"/>
    <mergeCell ref="L50:L51"/>
    <mergeCell ref="C48:C49"/>
    <mergeCell ref="D48:D49"/>
    <mergeCell ref="E48:E49"/>
    <mergeCell ref="F48:F49"/>
    <mergeCell ref="K48:K49"/>
    <mergeCell ref="L42:L43"/>
    <mergeCell ref="C42:C43"/>
    <mergeCell ref="D42:D43"/>
    <mergeCell ref="E42:E43"/>
    <mergeCell ref="F42:F43"/>
    <mergeCell ref="K42:K43"/>
    <mergeCell ref="L33:L34"/>
    <mergeCell ref="C36:C37"/>
    <mergeCell ref="D36:D37"/>
    <mergeCell ref="E36:E37"/>
    <mergeCell ref="F36:F37"/>
    <mergeCell ref="K36:K37"/>
    <mergeCell ref="L36:L37"/>
    <mergeCell ref="C33:C34"/>
    <mergeCell ref="D33:D34"/>
    <mergeCell ref="E33:E34"/>
    <mergeCell ref="F33:F34"/>
    <mergeCell ref="K33:K34"/>
    <mergeCell ref="C1:M2"/>
    <mergeCell ref="C4:M4"/>
    <mergeCell ref="C27:C28"/>
    <mergeCell ref="E27:E28"/>
    <mergeCell ref="F27:F28"/>
    <mergeCell ref="K27:K28"/>
    <mergeCell ref="L27:L28"/>
    <mergeCell ref="D27:D28"/>
    <mergeCell ref="C8:C9"/>
    <mergeCell ref="E8:E9"/>
    <mergeCell ref="F8:F9"/>
    <mergeCell ref="K8:K9"/>
    <mergeCell ref="L8:L9"/>
    <mergeCell ref="C10:C11"/>
    <mergeCell ref="E10:E11"/>
    <mergeCell ref="F10:F11"/>
    <mergeCell ref="K10:K11"/>
    <mergeCell ref="L10:L11"/>
    <mergeCell ref="C13:C15"/>
    <mergeCell ref="E13:E15"/>
    <mergeCell ref="F13:F15"/>
    <mergeCell ref="K13:K15"/>
    <mergeCell ref="L13:L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0C03F-5FAA-4AE2-81D2-FF478B2B1F86}">
  <dimension ref="C1:N28"/>
  <sheetViews>
    <sheetView workbookViewId="0">
      <selection activeCell="R19" sqref="R19"/>
    </sheetView>
  </sheetViews>
  <sheetFormatPr baseColWidth="10" defaultRowHeight="15" x14ac:dyDescent="0.25"/>
  <cols>
    <col min="1" max="2" width="2.7109375" customWidth="1"/>
    <col min="3" max="3" width="7.7109375" style="3" customWidth="1"/>
    <col min="4" max="4" width="19.42578125" bestFit="1" customWidth="1"/>
    <col min="5" max="11" width="7.7109375" customWidth="1"/>
    <col min="12" max="12" width="0.85546875" style="13" customWidth="1"/>
    <col min="13" max="13" width="19.42578125" bestFit="1" customWidth="1"/>
    <col min="14" max="14" width="7.7109375" style="14" customWidth="1"/>
    <col min="15" max="16" width="2.7109375" customWidth="1"/>
  </cols>
  <sheetData>
    <row r="1" spans="3:14" x14ac:dyDescent="0.25">
      <c r="C1" s="199" t="s">
        <v>68</v>
      </c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1"/>
    </row>
    <row r="2" spans="3:14" ht="15.75" thickBot="1" x14ac:dyDescent="0.3">
      <c r="C2" s="202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4"/>
    </row>
    <row r="3" spans="3:14" ht="15.75" thickBot="1" x14ac:dyDescent="0.3">
      <c r="C3" s="32" t="s">
        <v>10</v>
      </c>
      <c r="D3" s="163" t="s">
        <v>9</v>
      </c>
      <c r="E3" s="163"/>
      <c r="F3" s="33" t="s">
        <v>31</v>
      </c>
      <c r="G3" s="33" t="s">
        <v>69</v>
      </c>
      <c r="H3" s="33"/>
      <c r="I3" s="161" t="s">
        <v>70</v>
      </c>
      <c r="J3" s="163"/>
      <c r="K3" s="162"/>
      <c r="M3" s="161" t="s">
        <v>71</v>
      </c>
      <c r="N3" s="162"/>
    </row>
    <row r="4" spans="3:14" ht="15.75" thickBot="1" x14ac:dyDescent="0.3">
      <c r="C4" s="5"/>
      <c r="D4" s="153"/>
      <c r="E4" s="153"/>
      <c r="F4" s="5"/>
      <c r="G4" s="153"/>
      <c r="H4" s="153"/>
      <c r="I4" s="152"/>
      <c r="J4" s="153"/>
      <c r="K4" s="154"/>
      <c r="M4" s="5" t="s">
        <v>72</v>
      </c>
      <c r="N4" s="19" t="s">
        <v>73</v>
      </c>
    </row>
    <row r="5" spans="3:14" ht="15.75" thickBot="1" x14ac:dyDescent="0.3">
      <c r="C5" s="161" t="s">
        <v>74</v>
      </c>
      <c r="D5" s="163"/>
      <c r="E5" s="162"/>
      <c r="F5" s="153" t="s">
        <v>25</v>
      </c>
      <c r="G5" s="153"/>
      <c r="H5" s="153"/>
      <c r="I5" s="153"/>
      <c r="J5" s="153"/>
      <c r="K5" s="154"/>
      <c r="M5" s="34" t="s">
        <v>75</v>
      </c>
    </row>
    <row r="6" spans="3:14" x14ac:dyDescent="0.25">
      <c r="C6" s="176"/>
      <c r="D6" s="233"/>
      <c r="E6" s="177"/>
      <c r="F6" s="176"/>
      <c r="G6" s="233"/>
      <c r="H6" s="233"/>
      <c r="I6" s="233"/>
      <c r="J6" s="233"/>
      <c r="K6" s="177"/>
      <c r="M6" s="4" t="s">
        <v>76</v>
      </c>
    </row>
    <row r="7" spans="3:14" x14ac:dyDescent="0.25">
      <c r="C7" s="195"/>
      <c r="D7" s="234"/>
      <c r="E7" s="196"/>
      <c r="F7" s="195"/>
      <c r="G7" s="234"/>
      <c r="H7" s="234"/>
      <c r="I7" s="234"/>
      <c r="J7" s="234"/>
      <c r="K7" s="196"/>
      <c r="M7" s="4" t="s">
        <v>77</v>
      </c>
    </row>
    <row r="8" spans="3:14" x14ac:dyDescent="0.25">
      <c r="C8" s="195"/>
      <c r="D8" s="234"/>
      <c r="E8" s="196"/>
      <c r="F8" s="195"/>
      <c r="G8" s="234"/>
      <c r="H8" s="234"/>
      <c r="I8" s="234"/>
      <c r="J8" s="234"/>
      <c r="K8" s="196"/>
      <c r="M8" s="4" t="s">
        <v>78</v>
      </c>
    </row>
    <row r="9" spans="3:14" x14ac:dyDescent="0.25">
      <c r="C9" s="195"/>
      <c r="D9" s="234"/>
      <c r="E9" s="196"/>
      <c r="F9" s="195"/>
      <c r="G9" s="234"/>
      <c r="H9" s="234"/>
      <c r="I9" s="234"/>
      <c r="J9" s="234"/>
      <c r="K9" s="196"/>
      <c r="M9" s="4" t="s">
        <v>79</v>
      </c>
    </row>
    <row r="10" spans="3:14" ht="15.75" thickBot="1" x14ac:dyDescent="0.3">
      <c r="C10" s="197"/>
      <c r="D10" s="235"/>
      <c r="E10" s="198"/>
      <c r="F10" s="197"/>
      <c r="G10" s="235"/>
      <c r="H10" s="235"/>
      <c r="I10" s="235"/>
      <c r="J10" s="235"/>
      <c r="K10" s="198"/>
      <c r="M10" s="4" t="s">
        <v>80</v>
      </c>
    </row>
    <row r="11" spans="3:14" ht="15.75" thickBot="1" x14ac:dyDescent="0.3">
      <c r="M11" s="4" t="s">
        <v>81</v>
      </c>
    </row>
    <row r="12" spans="3:14" ht="15.75" thickBot="1" x14ac:dyDescent="0.3">
      <c r="D12" s="152" t="s">
        <v>82</v>
      </c>
      <c r="E12" s="233"/>
      <c r="F12" s="153"/>
      <c r="G12" s="233"/>
      <c r="H12" s="153"/>
      <c r="I12" s="233"/>
      <c r="J12" s="154"/>
      <c r="M12" s="4" t="s">
        <v>83</v>
      </c>
    </row>
    <row r="13" spans="3:14" ht="15.75" thickBot="1" x14ac:dyDescent="0.3">
      <c r="D13" s="24" t="s">
        <v>72</v>
      </c>
      <c r="E13" s="5" t="s">
        <v>84</v>
      </c>
      <c r="F13" s="9" t="s">
        <v>85</v>
      </c>
      <c r="G13" s="5" t="s">
        <v>86</v>
      </c>
      <c r="H13" s="9" t="s">
        <v>87</v>
      </c>
      <c r="I13" s="5" t="s">
        <v>88</v>
      </c>
      <c r="J13" s="19" t="s">
        <v>88</v>
      </c>
      <c r="M13" s="4" t="s">
        <v>89</v>
      </c>
    </row>
    <row r="14" spans="3:14" x14ac:dyDescent="0.25">
      <c r="D14" s="3" t="str">
        <f>M5</f>
        <v>Alto de prenda</v>
      </c>
      <c r="E14" s="4"/>
      <c r="G14" s="4"/>
      <c r="I14" s="4"/>
      <c r="J14" s="14"/>
      <c r="M14" s="4" t="s">
        <v>90</v>
      </c>
    </row>
    <row r="15" spans="3:14" x14ac:dyDescent="0.25">
      <c r="D15" s="3" t="str">
        <f t="shared" ref="D15:D21" si="0">M6</f>
        <v>Ancho de prenda</v>
      </c>
      <c r="E15" s="4"/>
      <c r="G15" s="4"/>
      <c r="I15" s="4"/>
      <c r="J15" s="14"/>
      <c r="M15" s="4" t="s">
        <v>91</v>
      </c>
    </row>
    <row r="16" spans="3:14" x14ac:dyDescent="0.25">
      <c r="D16" s="3" t="str">
        <f t="shared" si="0"/>
        <v>Línea de sisa</v>
      </c>
      <c r="E16" s="4"/>
      <c r="G16" s="4"/>
      <c r="I16" s="4"/>
      <c r="J16" s="14"/>
      <c r="M16" s="4" t="s">
        <v>92</v>
      </c>
    </row>
    <row r="17" spans="3:14" x14ac:dyDescent="0.25">
      <c r="D17" s="3" t="str">
        <f t="shared" si="0"/>
        <v>Línea de cintura</v>
      </c>
      <c r="E17" s="4"/>
      <c r="G17" s="4"/>
      <c r="I17" s="4"/>
      <c r="J17" s="14"/>
      <c r="M17" s="4" t="s">
        <v>93</v>
      </c>
    </row>
    <row r="18" spans="3:14" ht="15.75" thickBot="1" x14ac:dyDescent="0.3">
      <c r="D18" s="3" t="str">
        <f t="shared" si="0"/>
        <v>Línea de basta</v>
      </c>
      <c r="E18" s="4"/>
      <c r="G18" s="4"/>
      <c r="I18" s="4"/>
      <c r="J18" s="14"/>
      <c r="M18" s="6" t="s">
        <v>94</v>
      </c>
      <c r="N18" s="35"/>
    </row>
    <row r="19" spans="3:14" x14ac:dyDescent="0.25">
      <c r="D19" s="3" t="str">
        <f t="shared" si="0"/>
        <v>Caída de hombro</v>
      </c>
      <c r="E19" s="4"/>
      <c r="G19" s="4"/>
      <c r="I19" s="4"/>
      <c r="J19" s="14"/>
    </row>
    <row r="20" spans="3:14" x14ac:dyDescent="0.25">
      <c r="D20" s="3" t="str">
        <f t="shared" si="0"/>
        <v>Hombro a hombro</v>
      </c>
      <c r="E20" s="4"/>
      <c r="G20" s="4"/>
      <c r="I20" s="4"/>
      <c r="J20" s="14"/>
    </row>
    <row r="21" spans="3:14" x14ac:dyDescent="0.25">
      <c r="D21" s="3" t="str">
        <f t="shared" si="0"/>
        <v>Ancho de cuello del.</v>
      </c>
      <c r="E21" s="4"/>
      <c r="G21" s="4"/>
      <c r="I21" s="4"/>
      <c r="J21" s="14"/>
    </row>
    <row r="22" spans="3:14" x14ac:dyDescent="0.25">
      <c r="D22" s="3" t="str">
        <f>M14</f>
        <v>Alto de cuello</v>
      </c>
      <c r="E22" s="4"/>
      <c r="G22" s="4"/>
      <c r="I22" s="4"/>
      <c r="J22" s="14"/>
    </row>
    <row r="23" spans="3:14" x14ac:dyDescent="0.25">
      <c r="D23" s="3" t="str">
        <f t="shared" ref="D23:D26" si="1">M15</f>
        <v>Largo de manga</v>
      </c>
      <c r="E23" s="4"/>
      <c r="G23" s="4"/>
      <c r="I23" s="4"/>
      <c r="J23" s="14"/>
    </row>
    <row r="24" spans="3:14" ht="15.75" thickBot="1" x14ac:dyDescent="0.3">
      <c r="D24" s="3" t="str">
        <f t="shared" si="1"/>
        <v>Alto de copa</v>
      </c>
      <c r="E24" s="4"/>
      <c r="G24" s="4"/>
      <c r="I24" s="4"/>
      <c r="J24" s="14"/>
    </row>
    <row r="25" spans="3:14" ht="15.75" thickBot="1" x14ac:dyDescent="0.3">
      <c r="D25" s="3" t="str">
        <f t="shared" si="1"/>
        <v>Ancho de puño</v>
      </c>
      <c r="E25" s="4"/>
      <c r="G25" s="4"/>
      <c r="I25" s="4"/>
      <c r="J25" s="14"/>
      <c r="M25" s="24" t="s">
        <v>8</v>
      </c>
      <c r="N25" s="19"/>
    </row>
    <row r="26" spans="3:14" ht="15.75" thickBot="1" x14ac:dyDescent="0.3">
      <c r="D26" s="36" t="str">
        <f t="shared" si="1"/>
        <v>Medida de pretina</v>
      </c>
      <c r="E26" s="6"/>
      <c r="F26" s="18"/>
      <c r="G26" s="6"/>
      <c r="H26" s="18"/>
      <c r="I26" s="6"/>
      <c r="J26" s="35"/>
      <c r="M26" s="24"/>
      <c r="N26" s="19"/>
    </row>
    <row r="28" spans="3:14" ht="3" customHeight="1" x14ac:dyDescent="0.25">
      <c r="C28" s="20"/>
      <c r="D28" s="13"/>
      <c r="E28" s="13"/>
      <c r="F28" s="13"/>
      <c r="G28" s="13"/>
      <c r="H28" s="13"/>
      <c r="I28" s="13"/>
      <c r="J28" s="13"/>
      <c r="K28" s="13"/>
      <c r="M28" s="13"/>
      <c r="N28" s="21"/>
    </row>
  </sheetData>
  <mergeCells count="12">
    <mergeCell ref="C1:N2"/>
    <mergeCell ref="D3:E3"/>
    <mergeCell ref="I3:K3"/>
    <mergeCell ref="M3:N3"/>
    <mergeCell ref="D4:E4"/>
    <mergeCell ref="G4:H4"/>
    <mergeCell ref="I4:K4"/>
    <mergeCell ref="C5:E5"/>
    <mergeCell ref="F5:K5"/>
    <mergeCell ref="C6:E10"/>
    <mergeCell ref="F6:K10"/>
    <mergeCell ref="D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Libro diario</vt:lpstr>
      <vt:lpstr>Libros mayores</vt:lpstr>
      <vt:lpstr>Material comprado</vt:lpstr>
      <vt:lpstr>Prendas realizadas</vt:lpstr>
      <vt:lpstr>Ventas por mayor</vt:lpstr>
      <vt:lpstr>Ventas por menor</vt:lpstr>
      <vt:lpstr>Diseño de prenda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 Miranda Lopez</dc:creator>
  <cp:lastModifiedBy>Rossell Miranda Lopez</cp:lastModifiedBy>
  <dcterms:created xsi:type="dcterms:W3CDTF">2024-01-01T22:48:56Z</dcterms:created>
  <dcterms:modified xsi:type="dcterms:W3CDTF">2025-04-21T20:36:21Z</dcterms:modified>
</cp:coreProperties>
</file>